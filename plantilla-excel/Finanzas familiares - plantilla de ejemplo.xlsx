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eme" sheetId="1" state="visible" r:id="rId1"/>
    <sheet name="Patrimonio Neto" sheetId="2" state="visible" r:id="rId2"/>
    <sheet name="Ingresos - Gastos" sheetId="3" state="visible" r:id="rId3"/>
    <sheet name="Presupuesto" sheetId="4" state="visible" r:id="rId4"/>
    <sheet name="Gráficos" sheetId="5" state="visible" r:id="rId5"/>
    <sheet name="Fondo de emergencia" sheetId="6" state="visible" r:id="rId6"/>
    <sheet name="Panel" sheetId="7" state="visible" r:id="rId7"/>
    <sheet name="Objetivos" sheetId="8" state="visible" r:id="rId8"/>
    <sheet name="Proyección" sheetId="9" state="visible" r:id="rId9"/>
  </sheets>
  <definedNames/>
  <calcPr calcId="124519" fullCalcOnLoad="1"/>
</workbook>
</file>

<file path=xl/styles.xml><?xml version="1.0" encoding="utf-8"?>
<styleSheet xmlns="http://schemas.openxmlformats.org/spreadsheetml/2006/main">
  <numFmts count="8">
    <numFmt numFmtId="164" formatCode="dd/mm/yyyy"/>
    <numFmt numFmtId="165" formatCode="#,##0.00\ &quot;€&quot;"/>
    <numFmt numFmtId="166" formatCode="#,##0.00\ &quot;€&quot;;-#,##0.00\ &quot;€&quot;;&quot;&quot;"/>
    <numFmt numFmtId="167" formatCode="0.0%"/>
    <numFmt numFmtId="168" formatCode="0.0%;-0.0%;&quot;&quot;"/>
    <numFmt numFmtId="169" formatCode="0.0"/>
    <numFmt numFmtId="170" formatCode="#,##0\ &quot;€&quot;"/>
    <numFmt numFmtId="171" formatCode="0;-0;;"/>
  </numFmts>
  <fonts count="48">
    <font>
      <name val="Calibri"/>
      <family val="2"/>
      <color theme="1"/>
      <sz val="11"/>
      <scheme val="minor"/>
    </font>
    <font>
      <b val="1"/>
      <color rgb="001F3864"/>
      <sz val="15"/>
    </font>
    <font>
      <i val="1"/>
      <color rgb="00808080"/>
      <sz val="9"/>
    </font>
    <font>
      <b val="1"/>
      <color rgb="00FFFFFF"/>
      <sz val="11"/>
    </font>
    <font>
      <sz val="10"/>
    </font>
    <font>
      <color rgb="00808080"/>
      <sz val="8"/>
    </font>
    <font>
      <b val="1"/>
      <color rgb="001F3864"/>
      <sz val="11"/>
    </font>
    <font>
      <b val="1"/>
      <color rgb="001F3864"/>
      <sz val="10"/>
    </font>
    <font>
      <b val="1"/>
      <color rgb="001F3864"/>
      <sz val="12"/>
    </font>
    <font>
      <b val="1"/>
      <color rgb="00FFFFFF"/>
      <sz val="12"/>
    </font>
    <font>
      <b val="1"/>
      <color rgb="00006100"/>
      <sz val="13"/>
    </font>
    <font>
      <b val="1"/>
      <color rgb="00006100"/>
      <sz val="11"/>
    </font>
    <font>
      <b val="1"/>
      <color rgb="00FFFFFF"/>
      <sz val="10"/>
    </font>
    <font>
      <b val="1"/>
      <color rgb="000070C0"/>
      <sz val="10"/>
    </font>
    <font>
      <b val="1"/>
      <color rgb="00006100"/>
      <sz val="12"/>
    </font>
    <font>
      <b val="1"/>
      <color rgb="00808080"/>
      <sz val="9"/>
    </font>
    <font>
      <b val="1"/>
      <color rgb="00006100"/>
      <sz val="14"/>
    </font>
    <font>
      <b val="1"/>
      <color rgb="00FFFFFF"/>
      <sz val="9"/>
    </font>
    <font>
      <i val="1"/>
      <color rgb="00808080"/>
      <sz val="8"/>
    </font>
    <font>
      <color rgb="00000000"/>
      <sz val="10"/>
    </font>
    <font>
      <i val="1"/>
      <color rgb="00A6A6A6"/>
      <sz val="10"/>
    </font>
    <font>
      <b val="1"/>
      <color rgb="00C00000"/>
      <sz val="10"/>
    </font>
    <font>
      <color rgb="00C00000"/>
      <sz val="10"/>
    </font>
    <font>
      <i val="1"/>
      <color rgb="00404040"/>
      <sz val="9"/>
    </font>
    <font>
      <b val="1"/>
      <color rgb="FF1F3864"/>
      <sz val="15"/>
    </font>
    <font>
      <color rgb="FF808080"/>
      <sz val="9"/>
    </font>
    <font>
      <b val="1"/>
      <color rgb="FFFFFFFF"/>
      <sz val="12"/>
    </font>
    <font>
      <b val="1"/>
      <color rgb="FF1F3864"/>
      <sz val="10"/>
    </font>
    <font>
      <b val="1"/>
      <color rgb="FF1F3864"/>
      <sz val="11"/>
    </font>
    <font>
      <b val="1"/>
      <color rgb="FFFFFFFF"/>
      <sz val="10"/>
    </font>
    <font>
      <b val="1"/>
      <color rgb="FF0070C0"/>
      <sz val="10"/>
    </font>
    <font>
      <color rgb="FF1F3864"/>
      <sz val="10"/>
    </font>
    <font>
      <b val="1"/>
      <color rgb="FFC00000"/>
      <sz val="10"/>
    </font>
    <font>
      <sz val="9"/>
    </font>
    <font>
      <color rgb="FFC00000"/>
      <sz val="9"/>
    </font>
    <font>
      <color rgb="FFBBBBBB"/>
      <sz val="9"/>
    </font>
    <font>
      <b val="1"/>
      <color rgb="FF1F3864"/>
      <sz val="12"/>
    </font>
    <font>
      <b val="1"/>
      <color rgb="FFC00000"/>
      <sz val="12"/>
    </font>
    <font>
      <b val="1"/>
      <color rgb="FFFFFFFF"/>
      <sz val="11"/>
    </font>
    <font>
      <b val="1"/>
      <color rgb="FF1F3864"/>
      <sz val="9"/>
    </font>
    <font>
      <b val="1"/>
      <color rgb="FFC00000"/>
      <sz val="9"/>
    </font>
    <font>
      <color rgb="FF999999"/>
      <sz val="9"/>
    </font>
    <font>
      <b val="1"/>
      <color rgb="FFC00000"/>
      <sz val="16"/>
    </font>
    <font>
      <i val="1"/>
      <color rgb="FF808080"/>
      <sz val="10"/>
    </font>
    <font>
      <b val="1"/>
      <color rgb="FFC00000"/>
      <sz val="11"/>
    </font>
    <font>
      <b val="1"/>
      <color rgb="FF006100"/>
      <sz val="14"/>
    </font>
    <font>
      <b val="1"/>
      <color rgb="FF1F3864"/>
      <sz val="16"/>
    </font>
    <font>
      <i val="1"/>
      <color rgb="FFC00000"/>
      <sz val="10"/>
    </font>
  </fonts>
  <fills count="17">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4472C4"/>
      </patternFill>
    </fill>
    <fill>
      <patternFill patternType="solid">
        <fgColor rgb="00F2F2F2"/>
      </patternFill>
    </fill>
    <fill>
      <patternFill patternType="solid">
        <fgColor rgb="00FCE4D6"/>
      </patternFill>
    </fill>
    <fill>
      <patternFill patternType="solid">
        <fgColor rgb="008EA9DB"/>
      </patternFill>
    </fill>
    <fill>
      <patternFill patternType="solid">
        <fgColor rgb="00C00000"/>
      </patternFill>
    </fill>
    <fill>
      <patternFill patternType="solid">
        <fgColor rgb="00FFF2CC"/>
      </patternFill>
    </fill>
    <fill>
      <patternFill patternType="solid">
        <fgColor rgb="FF4472C4"/>
      </patternFill>
    </fill>
    <fill>
      <patternFill patternType="solid">
        <fgColor rgb="FF1F3864"/>
      </patternFill>
    </fill>
    <fill>
      <patternFill patternType="solid">
        <fgColor rgb="FFDDF3E0"/>
      </patternFill>
    </fill>
    <fill>
      <patternFill patternType="solid">
        <fgColor rgb="FFFCE4D6"/>
      </patternFill>
    </fill>
    <fill>
      <patternFill patternType="solid">
        <fgColor rgb="FFF2F2F2"/>
      </patternFill>
    </fill>
    <fill>
      <patternFill patternType="solid">
        <fgColor rgb="FFE2EFDA"/>
      </patternFill>
    </fill>
  </fills>
  <borders count="5">
    <border>
      <left/>
      <right/>
      <top/>
      <bottom/>
      <diagonal/>
    </border>
    <border>
      <bottom style="thin">
        <color rgb="00BFBFBF"/>
      </bottom>
    </border>
    <border>
      <top style="medium">
        <color rgb="001F3864"/>
      </top>
      <bottom style="medium">
        <color rgb="001F3864"/>
      </bottom>
    </border>
    <border>
      <left style="thin">
        <color rgb="FFAAAAAA"/>
      </left>
      <right style="thin">
        <color rgb="FFAAAAAA"/>
      </right>
      <top style="thin">
        <color rgb="FFAAAAAA"/>
      </top>
      <bottom style="thin">
        <color rgb="FFAAAAAA"/>
      </bottom>
    </border>
    <border>
      <left style="thin">
        <color rgb="FFCCCCCC"/>
      </left>
      <right style="thin">
        <color rgb="FFCCCCCC"/>
      </right>
      <top style="thin">
        <color rgb="FFCCCCCC"/>
      </top>
      <bottom style="thin">
        <color rgb="FFCCCCCC"/>
      </bottom>
    </border>
  </borders>
  <cellStyleXfs count="1">
    <xf numFmtId="0" fontId="0" fillId="0" borderId="0"/>
  </cellStyleXfs>
  <cellXfs count="164">
    <xf numFmtId="0" fontId="0" fillId="0" borderId="0" pivotButton="0" quotePrefix="0" xfId="0"/>
    <xf numFmtId="0" fontId="1" fillId="0" borderId="0" pivotButton="0" quotePrefix="0" xfId="0"/>
    <xf numFmtId="0" fontId="15" fillId="0" borderId="0" pivotButton="0" quotePrefix="0" xfId="0"/>
    <xf numFmtId="164" fontId="15" fillId="0" borderId="0" pivotButton="0" quotePrefix="0" xfId="0"/>
    <xf numFmtId="0" fontId="2" fillId="0" borderId="0" pivotButton="0" quotePrefix="0" xfId="0"/>
    <xf numFmtId="0" fontId="16" fillId="4" borderId="0" pivotButton="0" quotePrefix="0" xfId="0"/>
    <xf numFmtId="0" fontId="0" fillId="4" borderId="0" pivotButton="0" quotePrefix="0" xfId="0"/>
    <xf numFmtId="165" fontId="16" fillId="4" borderId="0" pivotButton="0" quotePrefix="0" xfId="0"/>
    <xf numFmtId="0" fontId="9" fillId="5" borderId="0" pivotButton="0" quotePrefix="0" xfId="0"/>
    <xf numFmtId="0" fontId="0" fillId="5" borderId="0" pivotButton="0" quotePrefix="0" xfId="0"/>
    <xf numFmtId="165" fontId="9" fillId="5" borderId="0" pivotButton="0" quotePrefix="0" xfId="0"/>
    <xf numFmtId="0" fontId="17" fillId="8" borderId="0" pivotButton="0" quotePrefix="0" xfId="0"/>
    <xf numFmtId="0" fontId="4" fillId="0" borderId="1" pivotButton="0" quotePrefix="0" xfId="0"/>
    <xf numFmtId="166" fontId="0" fillId="0" borderId="1" pivotButton="0" quotePrefix="0" xfId="0"/>
    <xf numFmtId="0" fontId="5" fillId="0" borderId="0" pivotButton="0" quotePrefix="0" xfId="0"/>
    <xf numFmtId="0" fontId="9" fillId="9" borderId="0" pivotButton="0" quotePrefix="0" xfId="0"/>
    <xf numFmtId="0" fontId="0" fillId="9" borderId="0" pivotButton="0" quotePrefix="0" xfId="0"/>
    <xf numFmtId="165" fontId="9" fillId="9" borderId="0" pivotButton="0" quotePrefix="0" xfId="0"/>
    <xf numFmtId="0" fontId="6" fillId="0" borderId="0" pivotButton="0" quotePrefix="0" xfId="0"/>
    <xf numFmtId="167" fontId="6" fillId="0" borderId="0" pivotButton="0" quotePrefix="0" xfId="0"/>
    <xf numFmtId="0" fontId="18" fillId="0" borderId="0" pivotButton="0" quotePrefix="0" xfId="0"/>
    <xf numFmtId="0" fontId="3" fillId="2" borderId="0" applyAlignment="1" pivotButton="0" quotePrefix="0" xfId="0">
      <alignment horizontal="left" vertical="center"/>
    </xf>
    <xf numFmtId="0" fontId="3" fillId="2" borderId="0" applyAlignment="1" pivotButton="0" quotePrefix="0" xfId="0">
      <alignment horizontal="center" vertical="center"/>
    </xf>
    <xf numFmtId="0" fontId="6" fillId="3" borderId="1" pivotButton="0" quotePrefix="0" xfId="0"/>
    <xf numFmtId="165" fontId="7" fillId="3" borderId="1" pivotButton="0" quotePrefix="0" xfId="0"/>
    <xf numFmtId="167" fontId="7" fillId="3" borderId="1" pivotButton="0" quotePrefix="0" xfId="0"/>
    <xf numFmtId="0" fontId="4" fillId="0" borderId="1" applyAlignment="1" pivotButton="0" quotePrefix="0" xfId="0">
      <alignment indent="2"/>
    </xf>
    <xf numFmtId="167" fontId="0" fillId="0" borderId="1" pivotButton="0" quotePrefix="0" xfId="0"/>
    <xf numFmtId="0" fontId="5" fillId="0" borderId="0" applyAlignment="1" pivotButton="0" quotePrefix="0" xfId="0">
      <alignment vertical="top"/>
    </xf>
    <xf numFmtId="0" fontId="8" fillId="4" borderId="2" pivotButton="0" quotePrefix="0" xfId="0"/>
    <xf numFmtId="0" fontId="0" fillId="4" borderId="2" pivotButton="0" quotePrefix="0" xfId="0"/>
    <xf numFmtId="165" fontId="8" fillId="4" borderId="2" pivotButton="0" quotePrefix="0" xfId="0"/>
    <xf numFmtId="167" fontId="3" fillId="5" borderId="0" pivotButton="0" quotePrefix="0" xfId="0"/>
    <xf numFmtId="0" fontId="7" fillId="6" borderId="1" pivotButton="0" quotePrefix="0" xfId="0"/>
    <xf numFmtId="165" fontId="7" fillId="6" borderId="1" pivotButton="0" quotePrefix="0" xfId="0"/>
    <xf numFmtId="167" fontId="7" fillId="6" borderId="1" pivotButton="0" quotePrefix="0" xfId="0"/>
    <xf numFmtId="168" fontId="0" fillId="0" borderId="1" pivotButton="0" quotePrefix="0" xfId="0"/>
    <xf numFmtId="0" fontId="8" fillId="7" borderId="2" pivotButton="0" quotePrefix="0" xfId="0"/>
    <xf numFmtId="0" fontId="0" fillId="7" borderId="2" pivotButton="0" quotePrefix="0" xfId="0"/>
    <xf numFmtId="165" fontId="8" fillId="7" borderId="2" pivotButton="0" quotePrefix="0" xfId="0"/>
    <xf numFmtId="0" fontId="10" fillId="4" borderId="0" pivotButton="0" quotePrefix="0" xfId="0"/>
    <xf numFmtId="165" fontId="10" fillId="4" borderId="0" pivotButton="0" quotePrefix="0" xfId="0"/>
    <xf numFmtId="0" fontId="11" fillId="4" borderId="0" pivotButton="0" quotePrefix="0" xfId="0"/>
    <xf numFmtId="167" fontId="11" fillId="4" borderId="0" pivotButton="0" quotePrefix="0" xfId="0"/>
    <xf numFmtId="0" fontId="12" fillId="2" borderId="0" applyAlignment="1" pivotButton="0" quotePrefix="0" xfId="0">
      <alignment horizontal="center" vertical="center" wrapText="1"/>
    </xf>
    <xf numFmtId="0" fontId="7" fillId="6" borderId="0" pivotButton="0" quotePrefix="0" xfId="0"/>
    <xf numFmtId="165" fontId="7" fillId="6" borderId="0" pivotButton="0" quotePrefix="0" xfId="0"/>
    <xf numFmtId="0" fontId="0" fillId="6" borderId="0" pivotButton="0" quotePrefix="0" xfId="0"/>
    <xf numFmtId="166" fontId="13" fillId="0" borderId="1" pivotButton="0" quotePrefix="0" xfId="0"/>
    <xf numFmtId="0" fontId="0" fillId="0" borderId="1" pivotButton="0" quotePrefix="0" xfId="0"/>
    <xf numFmtId="0" fontId="8" fillId="7" borderId="0" pivotButton="0" quotePrefix="0" xfId="0"/>
    <xf numFmtId="165" fontId="8" fillId="7" borderId="0" pivotButton="0" quotePrefix="0" xfId="0"/>
    <xf numFmtId="0" fontId="0" fillId="7" borderId="0" pivotButton="0" quotePrefix="0" xfId="0"/>
    <xf numFmtId="0" fontId="14" fillId="4" borderId="0" pivotButton="0" quotePrefix="0" xfId="0"/>
    <xf numFmtId="165" fontId="14" fillId="4" borderId="0" pivotButton="0" quotePrefix="0" xfId="0"/>
    <xf numFmtId="165" fontId="11" fillId="4" borderId="0" pivotButton="0" quotePrefix="0" xfId="0"/>
    <xf numFmtId="165" fontId="0" fillId="0" borderId="0" pivotButton="0" quotePrefix="0" xfId="0"/>
    <xf numFmtId="0" fontId="19" fillId="0" borderId="1" pivotButton="0" quotePrefix="0" xfId="0"/>
    <xf numFmtId="165" fontId="19" fillId="0" borderId="1" pivotButton="0" quotePrefix="0" xfId="0"/>
    <xf numFmtId="0" fontId="20" fillId="0" borderId="1" pivotButton="0" quotePrefix="0" xfId="0"/>
    <xf numFmtId="0" fontId="6" fillId="0" borderId="1" pivotButton="0" quotePrefix="0" xfId="0"/>
    <xf numFmtId="165" fontId="6" fillId="10" borderId="1" pivotButton="0" quotePrefix="0" xfId="0"/>
    <xf numFmtId="0" fontId="17" fillId="8" borderId="0" applyAlignment="1" pivotButton="0" quotePrefix="0" xfId="0">
      <alignment horizontal="center" wrapText="1"/>
    </xf>
    <xf numFmtId="165" fontId="0" fillId="0" borderId="1" pivotButton="0" quotePrefix="0" xfId="0"/>
    <xf numFmtId="169" fontId="0" fillId="0" borderId="1" pivotButton="0" quotePrefix="0" xfId="0"/>
    <xf numFmtId="0" fontId="21" fillId="0" borderId="1" pivotButton="0" quotePrefix="0" xfId="0"/>
    <xf numFmtId="0" fontId="6" fillId="4" borderId="1" pivotButton="0" quotePrefix="0" xfId="0"/>
    <xf numFmtId="0" fontId="0" fillId="4" borderId="1" pivotButton="0" quotePrefix="0" xfId="0"/>
    <xf numFmtId="165" fontId="6" fillId="4" borderId="1" pivotButton="0" quotePrefix="0" xfId="0"/>
    <xf numFmtId="0" fontId="22" fillId="0" borderId="1" pivotButton="0" quotePrefix="0" xfId="0"/>
    <xf numFmtId="0" fontId="6" fillId="10" borderId="1" pivotButton="0" quotePrefix="0" xfId="0"/>
    <xf numFmtId="0" fontId="0" fillId="10" borderId="1" pivotButton="0" quotePrefix="0" xfId="0"/>
    <xf numFmtId="0" fontId="23" fillId="0" borderId="0" pivotButton="0" quotePrefix="0" xfId="0"/>
    <xf numFmtId="169" fontId="19" fillId="0" borderId="1" pivotButton="0" quotePrefix="0" xfId="0"/>
    <xf numFmtId="169" fontId="6" fillId="10" borderId="1" pivotButton="0" quotePrefix="0" xfId="0"/>
    <xf numFmtId="169" fontId="6" fillId="4" borderId="1" pivotButton="0" quotePrefix="0" xfId="0"/>
    <xf numFmtId="164" fontId="15" fillId="0" borderId="0" pivotButton="0" quotePrefix="0" xfId="0"/>
    <xf numFmtId="165" fontId="16" fillId="4" borderId="0" pivotButton="0" quotePrefix="0" xfId="0"/>
    <xf numFmtId="165" fontId="9" fillId="5" borderId="0" pivotButton="0" quotePrefix="0" xfId="0"/>
    <xf numFmtId="166" fontId="0" fillId="0" borderId="1" pivotButton="0" quotePrefix="0" xfId="0"/>
    <xf numFmtId="165" fontId="9" fillId="9" borderId="0" pivotButton="0" quotePrefix="0" xfId="0"/>
    <xf numFmtId="165" fontId="7" fillId="3" borderId="1" pivotButton="0" quotePrefix="0" xfId="0"/>
    <xf numFmtId="165" fontId="8" fillId="4" borderId="2" pivotButton="0" quotePrefix="0" xfId="0"/>
    <xf numFmtId="165" fontId="7" fillId="6" borderId="1" pivotButton="0" quotePrefix="0" xfId="0"/>
    <xf numFmtId="168" fontId="0" fillId="0" borderId="1" pivotButton="0" quotePrefix="0" xfId="0"/>
    <xf numFmtId="165" fontId="8" fillId="7" borderId="2" pivotButton="0" quotePrefix="0" xfId="0"/>
    <xf numFmtId="165" fontId="10" fillId="4" borderId="0" pivotButton="0" quotePrefix="0" xfId="0"/>
    <xf numFmtId="165" fontId="7" fillId="6" borderId="0" pivotButton="0" quotePrefix="0" xfId="0"/>
    <xf numFmtId="166" fontId="13" fillId="0" borderId="1" pivotButton="0" quotePrefix="0" xfId="0"/>
    <xf numFmtId="165" fontId="8" fillId="7" borderId="0" pivotButton="0" quotePrefix="0" xfId="0"/>
    <xf numFmtId="165" fontId="14" fillId="4" borderId="0" pivotButton="0" quotePrefix="0" xfId="0"/>
    <xf numFmtId="165" fontId="11" fillId="4" borderId="0" pivotButton="0" quotePrefix="0" xfId="0"/>
    <xf numFmtId="165" fontId="0" fillId="0" borderId="0" pivotButton="0" quotePrefix="0" xfId="0"/>
    <xf numFmtId="165" fontId="19" fillId="0" borderId="1" pivotButton="0" quotePrefix="0" xfId="0"/>
    <xf numFmtId="165" fontId="6" fillId="10" borderId="1" pivotButton="0" quotePrefix="0" xfId="0"/>
    <xf numFmtId="165" fontId="0" fillId="0" borderId="1" pivotButton="0" quotePrefix="0" xfId="0"/>
    <xf numFmtId="169" fontId="0" fillId="0" borderId="1" pivotButton="0" quotePrefix="0" xfId="0"/>
    <xf numFmtId="165" fontId="6" fillId="4" borderId="1" pivotButton="0" quotePrefix="0" xfId="0"/>
    <xf numFmtId="169" fontId="19" fillId="0" borderId="1" pivotButton="0" quotePrefix="0" xfId="0"/>
    <xf numFmtId="169" fontId="6" fillId="10" borderId="1" pivotButton="0" quotePrefix="0" xfId="0"/>
    <xf numFmtId="169" fontId="6" fillId="4" borderId="1" pivotButton="0" quotePrefix="0" xfId="0"/>
    <xf numFmtId="0" fontId="24" fillId="0" borderId="0" pivotButton="0" quotePrefix="0" xfId="0"/>
    <xf numFmtId="0" fontId="25" fillId="0" borderId="0" pivotButton="0" quotePrefix="0" xfId="0"/>
    <xf numFmtId="0" fontId="42" fillId="0" borderId="0" pivotButton="0" quotePrefix="0" xfId="0"/>
    <xf numFmtId="0" fontId="43" fillId="0" borderId="0" pivotButton="0" quotePrefix="0" xfId="0"/>
    <xf numFmtId="0" fontId="26" fillId="11" borderId="0" pivotButton="0" quotePrefix="0" xfId="0"/>
    <xf numFmtId="0" fontId="29" fillId="12" borderId="0" applyAlignment="1" pivotButton="0" quotePrefix="0" xfId="0">
      <alignment horizontal="center" vertical="center" wrapText="1"/>
    </xf>
    <xf numFmtId="0" fontId="28" fillId="0" borderId="0" pivotButton="0" quotePrefix="0" xfId="0"/>
    <xf numFmtId="10" fontId="30" fillId="13" borderId="3" pivotButton="0" quotePrefix="0" xfId="0"/>
    <xf numFmtId="170" fontId="30" fillId="13" borderId="3" pivotButton="0" quotePrefix="0" xfId="0"/>
    <xf numFmtId="170" fontId="28" fillId="0" borderId="0" pivotButton="0" quotePrefix="0" xfId="0"/>
    <xf numFmtId="0" fontId="44" fillId="0" borderId="0" pivotButton="0" quotePrefix="0" xfId="0"/>
    <xf numFmtId="0" fontId="36" fillId="14" borderId="0" pivotButton="0" quotePrefix="0" xfId="0"/>
    <xf numFmtId="170" fontId="36" fillId="14" borderId="0" pivotButton="0" quotePrefix="0" xfId="0"/>
    <xf numFmtId="0" fontId="27" fillId="0" borderId="0" pivotButton="0" quotePrefix="0" xfId="0"/>
    <xf numFmtId="1" fontId="30" fillId="13" borderId="3" pivotButton="0" quotePrefix="0" xfId="0"/>
    <xf numFmtId="165" fontId="36" fillId="0" borderId="0" pivotButton="0" quotePrefix="0" xfId="0"/>
    <xf numFmtId="0" fontId="27" fillId="16" borderId="0" pivotButton="0" quotePrefix="0" xfId="0"/>
    <xf numFmtId="165" fontId="45" fillId="16" borderId="0" pivotButton="0" quotePrefix="0" xfId="0"/>
    <xf numFmtId="0" fontId="25" fillId="16" borderId="0" pivotButton="0" quotePrefix="0" xfId="0"/>
    <xf numFmtId="10" fontId="36" fillId="0" borderId="0" pivotButton="0" quotePrefix="0" xfId="0"/>
    <xf numFmtId="1" fontId="36" fillId="0" borderId="0" pivotButton="0" quotePrefix="0" xfId="0"/>
    <xf numFmtId="1" fontId="28" fillId="0" borderId="0" pivotButton="0" quotePrefix="0" xfId="0"/>
    <xf numFmtId="10" fontId="28" fillId="0" borderId="0" pivotButton="0" quotePrefix="0" xfId="0"/>
    <xf numFmtId="165" fontId="28" fillId="0" borderId="0" pivotButton="0" quotePrefix="0" xfId="0"/>
    <xf numFmtId="10" fontId="27" fillId="0" borderId="0" pivotButton="0" quotePrefix="0" xfId="0"/>
    <xf numFmtId="165" fontId="27" fillId="0" borderId="0" pivotButton="0" quotePrefix="0" xfId="0"/>
    <xf numFmtId="165" fontId="31" fillId="0" borderId="0" pivotButton="0" quotePrefix="0" xfId="0"/>
    <xf numFmtId="0" fontId="32" fillId="0" borderId="0" pivotButton="0" quotePrefix="0" xfId="0"/>
    <xf numFmtId="0" fontId="25" fillId="0" borderId="0" applyAlignment="1" pivotButton="0" quotePrefix="0" xfId="0">
      <alignment vertical="top" wrapText="1"/>
    </xf>
    <xf numFmtId="0" fontId="28" fillId="14" borderId="0" pivotButton="0" quotePrefix="0" xfId="0"/>
    <xf numFmtId="165" fontId="28" fillId="14" borderId="0" pivotButton="0" quotePrefix="0" xfId="0"/>
    <xf numFmtId="0" fontId="4" fillId="13" borderId="4" pivotButton="0" quotePrefix="0" xfId="0"/>
    <xf numFmtId="0" fontId="33" fillId="13" borderId="4" pivotButton="0" quotePrefix="0" xfId="0"/>
    <xf numFmtId="0" fontId="0" fillId="13" borderId="4" pivotButton="0" quotePrefix="0" xfId="0"/>
    <xf numFmtId="1" fontId="0" fillId="13" borderId="4" pivotButton="0" quotePrefix="0" xfId="0"/>
    <xf numFmtId="171" fontId="31" fillId="0" borderId="0" pivotButton="0" quotePrefix="0" xfId="0"/>
    <xf numFmtId="170" fontId="0" fillId="13" borderId="4" pivotButton="0" quotePrefix="0" xfId="0"/>
    <xf numFmtId="0" fontId="34" fillId="0" borderId="0" applyAlignment="1" pivotButton="0" quotePrefix="0" xfId="0">
      <alignment vertical="top" wrapText="1"/>
    </xf>
    <xf numFmtId="1" fontId="35" fillId="0" borderId="0" pivotButton="0" quotePrefix="0" xfId="0"/>
    <xf numFmtId="165" fontId="36" fillId="14" borderId="0" pivotButton="0" quotePrefix="0" xfId="0"/>
    <xf numFmtId="0" fontId="37" fillId="0" borderId="0" pivotButton="0" quotePrefix="0" xfId="0"/>
    <xf numFmtId="0" fontId="38" fillId="11" borderId="0" pivotButton="0" quotePrefix="0" xfId="0"/>
    <xf numFmtId="0" fontId="0" fillId="11" borderId="0" pivotButton="0" quotePrefix="0" xfId="0"/>
    <xf numFmtId="1" fontId="27" fillId="0" borderId="0" pivotButton="0" quotePrefix="0" xfId="0"/>
    <xf numFmtId="1" fontId="41" fillId="0" borderId="0" pivotButton="0" quotePrefix="0" xfId="0"/>
    <xf numFmtId="165" fontId="4" fillId="0" borderId="0" pivotButton="0" quotePrefix="0" xfId="0"/>
    <xf numFmtId="165" fontId="32" fillId="0" borderId="0" pivotButton="0" quotePrefix="0" xfId="0"/>
    <xf numFmtId="165" fontId="33" fillId="0" borderId="0" pivotButton="0" quotePrefix="0" xfId="0"/>
    <xf numFmtId="165" fontId="39" fillId="0" borderId="0" pivotButton="0" quotePrefix="0" xfId="0"/>
    <xf numFmtId="165" fontId="34" fillId="0" borderId="0" pivotButton="0" quotePrefix="0" xfId="0"/>
    <xf numFmtId="165" fontId="40" fillId="0" borderId="0" pivotButton="0" quotePrefix="0" xfId="0"/>
    <xf numFmtId="1" fontId="27" fillId="15" borderId="0" pivotButton="0" quotePrefix="0" xfId="0"/>
    <xf numFmtId="1" fontId="41" fillId="15" borderId="0" pivotButton="0" quotePrefix="0" xfId="0"/>
    <xf numFmtId="165" fontId="27" fillId="15" borderId="0" pivotButton="0" quotePrefix="0" xfId="0"/>
    <xf numFmtId="165" fontId="4" fillId="15" borderId="0" pivotButton="0" quotePrefix="0" xfId="0"/>
    <xf numFmtId="165" fontId="32" fillId="15" borderId="0" pivotButton="0" quotePrefix="0" xfId="0"/>
    <xf numFmtId="165" fontId="33" fillId="15" borderId="0" pivotButton="0" quotePrefix="0" xfId="0"/>
    <xf numFmtId="165" fontId="39" fillId="15" borderId="0" pivotButton="0" quotePrefix="0" xfId="0"/>
    <xf numFmtId="165" fontId="34" fillId="15" borderId="0" pivotButton="0" quotePrefix="0" xfId="0"/>
    <xf numFmtId="165" fontId="40" fillId="15" borderId="0" pivotButton="0" quotePrefix="0" xfId="0"/>
    <xf numFmtId="0" fontId="46" fillId="0" borderId="0" pivotButton="0" quotePrefix="0" xfId="0"/>
    <xf numFmtId="0" fontId="47"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t>Gastos por bloque</a:t>
            </a:r>
          </a:p>
        </rich>
      </tx>
    </title>
    <plotArea>
      <pieChart>
        <varyColors val="1"/>
        <ser>
          <idx val="0"/>
          <order val="0"/>
          <spPr>
            <a:ln>
              <a:prstDash val="solid"/>
            </a:ln>
          </spPr>
          <cat>
            <numRef>
              <f>'Gráficos'!$A$2:$A$4</f>
            </numRef>
          </cat>
          <val>
            <numRef>
              <f>'Gráficos'!$B$2:$B$4</f>
            </numRef>
          </val>
        </ser>
        <dLbls>
          <showPercent val="1"/>
        </dLbls>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Ingresos por origen</a:t>
            </a:r>
          </a:p>
        </rich>
      </tx>
    </title>
    <plotArea>
      <pieChart>
        <varyColors val="1"/>
        <ser>
          <idx val="0"/>
          <order val="0"/>
          <spPr>
            <a:ln>
              <a:prstDash val="solid"/>
            </a:ln>
          </spPr>
          <cat>
            <numRef>
              <f>'Gráficos'!$A$8:$A$9</f>
            </numRef>
          </cat>
          <val>
            <numRef>
              <f>'Gráficos'!$B$8:$B$9</f>
            </numRef>
          </val>
        </ser>
        <dLbls>
          <showPercent val="1"/>
        </dLbls>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Valor neto total, año a año</a:t>
            </a:r>
          </a:p>
        </rich>
      </tx>
    </title>
    <plotArea>
      <lineChart>
        <grouping val="standard"/>
        <ser>
          <idx val="0"/>
          <order val="0"/>
          <tx>
            <strRef>
              <f>'Proyección'!D5</f>
            </strRef>
          </tx>
          <spPr>
            <a:ln>
              <a:prstDash val="solid"/>
            </a:ln>
          </spPr>
          <marker>
            <symbol val="none"/>
            <spPr>
              <a:ln>
                <a:prstDash val="solid"/>
              </a:ln>
            </spPr>
          </marker>
          <cat>
            <numRef>
              <f>'Proyección'!$A$6:$A$90</f>
            </numRef>
          </cat>
          <val>
            <numRef>
              <f>'Proyección'!$D$6:$D$90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Valor neto total, año a año</a:t>
            </a:r>
          </a:p>
        </rich>
      </tx>
    </title>
    <plotArea>
      <lineChart>
        <grouping val="standard"/>
        <ser>
          <idx val="0"/>
          <order val="0"/>
          <tx>
            <strRef>
              <f>'Proyección'!D5</f>
            </strRef>
          </tx>
          <spPr>
            <a:ln>
              <a:prstDash val="solid"/>
            </a:ln>
          </spPr>
          <marker>
            <symbol val="none"/>
            <spPr>
              <a:ln>
                <a:prstDash val="solid"/>
              </a:ln>
            </spPr>
          </marker>
          <cat>
            <numRef>
              <f>'Proyección'!$A$6:$A$90</f>
            </numRef>
          </cat>
          <val>
            <numRef>
              <f>'Proyección'!$D$6:$D$90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468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19</row>
      <rowOff>0</rowOff>
    </from>
    <ext cx="4680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31</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25</col>
      <colOff>0</colOff>
      <row>5</row>
      <rowOff>0</rowOff>
    </from>
    <ext cx="93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9.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A40"/>
  <sheetViews>
    <sheetView showGridLines="0" tabSelected="1" workbookViewId="0">
      <selection activeCell="A1" sqref="A1"/>
    </sheetView>
  </sheetViews>
  <sheetFormatPr baseColWidth="8" defaultRowHeight="15"/>
  <cols>
    <col width="150" customWidth="1" min="1" max="1"/>
  </cols>
  <sheetData>
    <row r="1">
      <c r="A1" s="161" t="inlineStr">
        <is>
          <t>FINANZAS FAMILIARES — plantilla con datos de ejemplo</t>
        </is>
      </c>
    </row>
    <row r="2">
      <c r="A2" s="162" t="inlineStr">
        <is>
          <t>Todas las cifras son INVENTADAS (una familia ficticia: Ana, Luis y su hijo Leo). Sustitúyelas por las tuyas.</t>
        </is>
      </c>
    </row>
    <row r="3">
      <c r="A3" s="163" t="inlineStr"/>
    </row>
    <row r="4">
      <c r="A4" s="142" t="inlineStr">
        <is>
          <t>QUÉ HAY DENTRO</t>
        </is>
      </c>
    </row>
    <row r="5">
      <c r="A5" s="163" t="inlineStr">
        <is>
          <t>Dos partes que se alimentan solas:</t>
        </is>
      </c>
    </row>
    <row r="6">
      <c r="A6" s="163" t="inlineStr">
        <is>
          <t xml:space="preserve">  • FINANZAS (lo que tienes hoy): Patrimonio Neto, Ingresos - Gastos, Presupuesto, Gráficos, Fondo de emergencia.</t>
        </is>
      </c>
    </row>
    <row r="7">
      <c r="A7" s="163" t="inlineStr">
        <is>
          <t xml:space="preserve">  • PLAN (a dónde quieres llegar): Panel, Objetivos, Proyección. Lee tu ahorro y lo ya invertido de la parte de finanzas.</t>
        </is>
      </c>
    </row>
    <row r="8">
      <c r="A8" s="163" t="inlineStr"/>
    </row>
    <row r="9">
      <c r="A9" s="142" t="inlineStr">
        <is>
          <t>EN QUÉ ORDEN RELLENARLO</t>
        </is>
      </c>
    </row>
    <row r="10">
      <c r="A10" s="163" t="inlineStr">
        <is>
          <t>1. Patrimonio Neto — lo que tienes y lo que debes. Pon la FECHA de hoy en E1: los plazos de los objetivos se cuentan desde ese año.</t>
        </is>
      </c>
    </row>
    <row r="11">
      <c r="A11" s="163" t="inlineStr">
        <is>
          <t>2. Ingresos - Gastos — cada concepto en la columna B (si es mensual) o en la C (si es anual), nunca en las dos. La G es para tus notas.</t>
        </is>
      </c>
    </row>
    <row r="12">
      <c r="A12" s="163" t="inlineStr">
        <is>
          <t xml:space="preserve">     Truco: saca los importes del extracto del banco de los últimos 12 meses; los recibos anuales o estacionales (IBI, seguros, gas) mejor en anual.</t>
        </is>
      </c>
    </row>
    <row r="13">
      <c r="A13" s="163" t="inlineStr">
        <is>
          <t>3. Presupuesto — la columna D (en azul) es lo que QUIERES gastar. El resto se copia solo de «Ingresos - Gastos».</t>
        </is>
      </c>
    </row>
    <row r="14">
      <c r="A14" s="163" t="inlineStr">
        <is>
          <t>4. Fondo de emergencia — cuánto aguantaríais sin ingresos. Rellena el paro estimado y los recortes que harías.</t>
        </is>
      </c>
    </row>
    <row r="15">
      <c r="A15" s="163" t="inlineStr">
        <is>
          <t>5. Panel — rentabilidad supuesta y aportación mensual de cada cartera, y los supuestos (inflación, impuestos…). Es lo único que tocas para "jugar".</t>
        </is>
      </c>
    </row>
    <row r="16">
      <c r="A16" s="163" t="inlineStr">
        <is>
          <t>6. Objetivos — cada meta con su año, importe en euros de HOY y la cartera de la que sale.</t>
        </is>
      </c>
    </row>
    <row r="17">
      <c r="A17" s="163" t="inlineStr">
        <is>
          <t>7. Proyección — no se edita: año a año, cuánto hay en cada cartera y si llega para cada objetivo.</t>
        </is>
      </c>
    </row>
    <row r="18">
      <c r="A18" s="163" t="inlineStr"/>
    </row>
    <row r="19">
      <c r="A19" s="142" t="inlineStr">
        <is>
          <t>REGLAS PARA NO ROMPERLO</t>
        </is>
      </c>
    </row>
    <row r="20">
      <c r="A20" s="163" t="inlineStr">
        <is>
          <t>• Edita solo las celdas con FONDO VERDE (Panel y Objetivos), la columna D del Presupuesto y los importes de las demás hojas.</t>
        </is>
      </c>
    </row>
    <row r="21">
      <c r="A21" s="163" t="inlineStr">
        <is>
          <t>• NO insertes ni borres filas: cada grupo trae filas vacías de reserva ya incluidas en las sumas. Si te sobra una, déjala en blanco.</t>
        </is>
      </c>
    </row>
    <row r="22">
      <c r="A22" s="163" t="inlineStr">
        <is>
          <t>• Elige una herramienta (Excel o Google Sheets) y quédate con ella: pasar el fichero de una a otra suele estropear los gráficos.</t>
        </is>
      </c>
    </row>
    <row r="23">
      <c r="A23" s="163" t="inlineStr">
        <is>
          <t>• En Google Sheets: súbelo a Drive y ábrelo con «Abrir con → Hojas de cálculo de Google».</t>
        </is>
      </c>
    </row>
    <row r="24">
      <c r="A24" s="163" t="inlineStr"/>
    </row>
    <row r="25">
      <c r="A25" s="142" t="inlineStr">
        <is>
          <t>CONCEPTOS CLAVE</t>
        </is>
      </c>
    </row>
    <row r="26">
      <c r="A26" s="163" t="inlineStr">
        <is>
          <t>• Carteras por plazo ("cubos"): el dinero que necesitas en 5 años no puede ir donde el de 30. Lo cercano va en algo estable (cartera conservadora);</t>
        </is>
      </c>
    </row>
    <row r="27">
      <c r="A27" s="163" t="inlineStr">
        <is>
          <t xml:space="preserve">   lo lejano, en renta variable (indexada global), que rinde más a largo plazo pero puede caer un 20-30% en un mal año.</t>
        </is>
      </c>
    </row>
    <row r="28">
      <c r="A28" s="163" t="inlineStr">
        <is>
          <t>• Euros de hoy: los objetivos se escriben con precios actuales; el libro les suma la inflación hasta su año.</t>
        </is>
      </c>
    </row>
    <row r="29">
      <c r="A29" s="163" t="inlineStr">
        <is>
          <t>• Rentabilidad mínima para no perder = inflación ÷ (1 − impuestos). Por debajo de eso, tu dinero pierde poder de compra.</t>
        </is>
      </c>
    </row>
    <row r="30">
      <c r="A30" s="163" t="inlineStr">
        <is>
          <t>• Tipos de objetivo: «Único» se paga de golpe en su año; «Renta» es una cantidad al mes durante X años; «Jubilación» es una renta que además</t>
        </is>
      </c>
    </row>
    <row r="31">
      <c r="A31" s="163" t="inlineStr">
        <is>
          <t xml:space="preserve">   marca el año en que dejas de aportar.</t>
        </is>
      </c>
    </row>
    <row r="32">
      <c r="A32" s="163" t="inlineStr">
        <is>
          <t>• Fondo de emergencia: dinero líquido y separado para imprevistos o para quedarse sin ingresos. No se invierte en bolsa.</t>
        </is>
      </c>
    </row>
    <row r="33">
      <c r="A33" s="163" t="inlineStr"/>
    </row>
    <row r="34">
      <c r="A34" s="142" t="inlineStr">
        <is>
          <t>LÍMITES (léelo antes de fiarte de los números)</t>
        </is>
      </c>
    </row>
    <row r="35">
      <c r="A35" s="163" t="inlineStr">
        <is>
          <t>• NO es asesoramiento financiero. Es una calculadora: los resultados dependen de los supuestos que pongas.</t>
        </is>
      </c>
    </row>
    <row r="36">
      <c r="A36" s="163" t="inlineStr">
        <is>
          <t>• Las rentabilidades son SUPUESTOS para jugar, no promesas. Rentabilidades pasadas no garantizan las futuras.</t>
        </is>
      </c>
    </row>
    <row r="37">
      <c r="A37" s="163" t="inlineStr">
        <is>
          <t>• Impuestos simplificados: se aplica un tipo medio a la plusvalía al vender. En España la base del ahorro va por tramos (del 19% al 30%)</t>
        </is>
      </c>
    </row>
    <row r="38">
      <c r="A38" s="163" t="inlineStr">
        <is>
          <t xml:space="preserve">   y Hacienda calcula la plusvalía por FIFO (lo primero que compraste es lo primero que vendes); el libro usa el coste medio como aproximación.</t>
        </is>
      </c>
    </row>
    <row r="39">
      <c r="A39" s="163" t="inlineStr">
        <is>
          <t>• «Necesita €/mes» es conservador: no descuenta lo que ya tienes invertido ni la subida anual de la aportación. Si sale justo, probablemente vas bien.</t>
        </is>
      </c>
    </row>
    <row r="40">
      <c r="A40" s="163" t="inlineStr">
        <is>
          <t>• No incluye la pensión pública: el objetivo de jubilación es el COMPLEMENTO que quieres añadirle.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showGridLines="0" tabSelected="0" workbookViewId="0">
      <selection activeCell="A1" sqref="A1"/>
    </sheetView>
  </sheetViews>
  <sheetFormatPr baseColWidth="8" defaultRowHeight="15"/>
  <cols>
    <col width="36" customWidth="1" min="1" max="1"/>
    <col width="18" customWidth="1" min="2" max="2"/>
    <col width="18" customWidth="1" min="3" max="3"/>
    <col width="18" customWidth="1" min="4" max="4"/>
    <col width="16" customWidth="1" min="5" max="5"/>
    <col width="3" customWidth="1" min="6" max="6"/>
    <col width="95" customWidth="1" min="7" max="7"/>
  </cols>
  <sheetData>
    <row r="1">
      <c r="A1" s="1" t="inlineStr">
        <is>
          <t>PATRIMONIO NETO</t>
        </is>
      </c>
      <c r="D1" s="2" t="inlineStr">
        <is>
          <t>Última actualización</t>
        </is>
      </c>
      <c r="E1" s="76" t="n">
        <v>46266</v>
      </c>
    </row>
    <row r="2">
      <c r="A2" s="4" t="inlineStr">
        <is>
          <t>Lo que tienes menos lo que debes. CIFRAS INVENTADAS: pon las tuyas y actualiza la fecha de E1 (los plazos de «Objetivos» se cuentan desde ese año).</t>
        </is>
      </c>
    </row>
    <row r="3">
      <c r="A3" s="5" t="inlineStr">
        <is>
          <t>PATRIMONIO NETO (Activos − Pasivos)</t>
        </is>
      </c>
      <c r="B3" s="6" t="n"/>
      <c r="C3" s="6" t="n"/>
      <c r="D3" s="6" t="n"/>
      <c r="E3" s="77">
        <f>E5-E17</f>
        <v>146200</v>
      </c>
    </row>
    <row r="5">
      <c r="A5" s="8" t="inlineStr">
        <is>
          <t>ACTIVOS (BIENES)</t>
        </is>
      </c>
      <c r="B5" s="9" t="n"/>
      <c r="C5" s="9" t="n"/>
      <c r="D5" s="9" t="n"/>
      <c r="E5" s="78">
        <f>SUM(E7:E15)</f>
        <v>311200</v>
      </c>
    </row>
    <row r="6">
      <c r="A6" s="11" t="inlineStr">
        <is>
          <t>Descripción</t>
        </is>
      </c>
      <c r="B6" s="11" t="inlineStr">
        <is>
          <t>Entidad</t>
        </is>
      </c>
      <c r="C6" s="11" t="inlineStr">
        <is>
          <t>Nº de cuenta</t>
        </is>
      </c>
      <c r="D6" s="11" t="inlineStr">
        <is>
          <t>Titular/es</t>
        </is>
      </c>
      <c r="E6" s="11" t="inlineStr">
        <is>
          <t>Valoración</t>
        </is>
      </c>
    </row>
    <row r="7">
      <c r="A7" s="12" t="inlineStr">
        <is>
          <t>Vivienda habitual</t>
        </is>
      </c>
      <c r="B7" s="12" t="inlineStr"/>
      <c r="C7" s="12" t="inlineStr"/>
      <c r="D7" s="12" t="inlineStr">
        <is>
          <t>Ana 50% / Luis 50%</t>
        </is>
      </c>
      <c r="E7" s="79" t="n">
        <v>260000</v>
      </c>
      <c r="G7" s="14" t="inlineStr">
        <is>
          <t>EJEMPLO. Valor estimado de mercado hoy (no el de compra). La hipoteca va abajo, en pasivos</t>
        </is>
      </c>
    </row>
    <row r="8">
      <c r="A8" s="12" t="inlineStr">
        <is>
          <t>Cuenta corriente común</t>
        </is>
      </c>
      <c r="B8" s="12" t="inlineStr">
        <is>
          <t>Banco A</t>
        </is>
      </c>
      <c r="C8" s="12" t="inlineStr">
        <is>
          <t>*1234</t>
        </is>
      </c>
      <c r="D8" s="12" t="inlineStr">
        <is>
          <t>Común</t>
        </is>
      </c>
      <c r="E8" s="79" t="n">
        <v>4500</v>
      </c>
      <c r="G8" s="14" t="inlineStr">
        <is>
          <t>EJEMPLO. La del día a día: aquí entran las nóminas y salen los recibos</t>
        </is>
      </c>
    </row>
    <row r="9">
      <c r="A9" s="12" t="inlineStr">
        <is>
          <t>Cuenta remunerada (colchón)</t>
        </is>
      </c>
      <c r="B9" s="12" t="inlineStr">
        <is>
          <t>Banco B</t>
        </is>
      </c>
      <c r="C9" s="12" t="inlineStr"/>
      <c r="D9" s="12" t="inlineStr">
        <is>
          <t>Común</t>
        </is>
      </c>
      <c r="E9" s="79" t="n">
        <v>14000</v>
      </c>
      <c r="G9" s="14" t="inlineStr">
        <is>
          <t>EJEMPLO. Fondo de emergencia, separado de la cuenta del día a día para no tocarlo</t>
        </is>
      </c>
    </row>
    <row r="10">
      <c r="A10" s="12" t="inlineStr">
        <is>
          <t>Cuenta personal Ana</t>
        </is>
      </c>
      <c r="B10" s="12" t="inlineStr"/>
      <c r="C10" s="12" t="inlineStr"/>
      <c r="D10" s="12" t="inlineStr">
        <is>
          <t>Ana</t>
        </is>
      </c>
      <c r="E10" s="79" t="n">
        <v>1500</v>
      </c>
    </row>
    <row r="11">
      <c r="A11" s="12" t="inlineStr">
        <is>
          <t>Cuenta personal Luis</t>
        </is>
      </c>
      <c r="B11" s="12" t="inlineStr"/>
      <c r="C11" s="12" t="inlineStr"/>
      <c r="D11" s="12" t="inlineStr">
        <is>
          <t>Luis</t>
        </is>
      </c>
      <c r="E11" s="79" t="n">
        <v>1200</v>
      </c>
    </row>
    <row r="12">
      <c r="A12" s="12" t="inlineStr">
        <is>
          <t>Cartera conservadora</t>
        </is>
      </c>
      <c r="B12" s="12" t="inlineStr">
        <is>
          <t>Gestora X</t>
        </is>
      </c>
      <c r="C12" s="12" t="inlineStr"/>
      <c r="D12" s="12" t="inlineStr">
        <is>
          <t>Común</t>
        </is>
      </c>
      <c r="E12" s="79" t="n">
        <v>3000</v>
      </c>
      <c r="G12" s="14" t="inlineStr">
        <is>
          <t>EJEMPLO. Dinero para objetivos a menos de ~10 años. La pestaña «Objetivos» lee de aquí lo ya invertido</t>
        </is>
      </c>
    </row>
    <row r="13">
      <c r="A13" s="12" t="inlineStr">
        <is>
          <t>Cartera indexada global</t>
        </is>
      </c>
      <c r="B13" s="12" t="inlineStr">
        <is>
          <t>Gestora Y</t>
        </is>
      </c>
      <c r="C13" s="12" t="inlineStr"/>
      <c r="D13" s="12" t="inlineStr">
        <is>
          <t>Común</t>
        </is>
      </c>
      <c r="E13" s="79" t="n">
        <v>18000</v>
      </c>
      <c r="G13" s="14" t="inlineStr">
        <is>
          <t>EJEMPLO. Dinero para objetivos lejanos (15+ años). La pestaña «Objetivos» lee de aquí lo ya invertido</t>
        </is>
      </c>
    </row>
    <row r="14">
      <c r="A14" s="12" t="inlineStr">
        <is>
          <t>Plan de pensiones</t>
        </is>
      </c>
      <c r="B14" s="12" t="inlineStr">
        <is>
          <t>Gestora Z</t>
        </is>
      </c>
      <c r="C14" s="12" t="inlineStr"/>
      <c r="D14" s="12" t="inlineStr">
        <is>
          <t>Luis</t>
        </is>
      </c>
      <c r="E14" s="79" t="n">
        <v>9000</v>
      </c>
      <c r="G14" s="14" t="inlineStr">
        <is>
          <t>EJEMPLO. No es dinero disponible: solo se rescata en los supuestos que marca la ley</t>
        </is>
      </c>
    </row>
    <row r="15">
      <c r="A15" s="12" t="n"/>
      <c r="B15" s="12" t="n"/>
      <c r="C15" s="12" t="n"/>
      <c r="D15" s="12" t="n"/>
      <c r="E15" s="79" t="n"/>
    </row>
    <row r="17">
      <c r="A17" s="15" t="inlineStr">
        <is>
          <t>PASIVOS (DEUDAS)</t>
        </is>
      </c>
      <c r="B17" s="16" t="n"/>
      <c r="C17" s="16" t="n"/>
      <c r="D17" s="16" t="n"/>
      <c r="E17" s="80">
        <f>SUM(E19:E21)</f>
        <v>165000</v>
      </c>
    </row>
    <row r="18">
      <c r="A18" s="11" t="inlineStr">
        <is>
          <t>Descripción</t>
        </is>
      </c>
      <c r="B18" s="11" t="inlineStr">
        <is>
          <t>Entidad</t>
        </is>
      </c>
      <c r="C18" s="11" t="inlineStr">
        <is>
          <t>Nº de cuenta</t>
        </is>
      </c>
      <c r="D18" s="11" t="inlineStr">
        <is>
          <t>Titular/es</t>
        </is>
      </c>
      <c r="E18" s="11" t="inlineStr">
        <is>
          <t>Valoración</t>
        </is>
      </c>
    </row>
    <row r="19">
      <c r="A19" s="12" t="inlineStr">
        <is>
          <t>Hipoteca de la vivienda</t>
        </is>
      </c>
      <c r="B19" s="12" t="inlineStr">
        <is>
          <t>Banco A</t>
        </is>
      </c>
      <c r="C19" s="12" t="inlineStr"/>
      <c r="D19" s="12" t="inlineStr">
        <is>
          <t>Ana 50% / Luis 50%</t>
        </is>
      </c>
      <c r="E19" s="79" t="n">
        <v>165000</v>
      </c>
      <c r="G19" s="14" t="inlineStr">
        <is>
          <t>EJEMPLO. Capital pendiente (lo que aún debes), no la cuota</t>
        </is>
      </c>
    </row>
    <row r="20">
      <c r="A20" s="12" t="n"/>
      <c r="B20" s="12" t="n"/>
      <c r="C20" s="12" t="n"/>
      <c r="D20" s="12" t="n"/>
      <c r="E20" s="79" t="n"/>
    </row>
    <row r="21">
      <c r="A21" s="12" t="n"/>
      <c r="B21" s="12" t="n"/>
      <c r="C21" s="12" t="n"/>
      <c r="D21" s="12" t="n"/>
      <c r="E21" s="79" t="n"/>
    </row>
    <row r="23">
      <c r="A23" s="18" t="inlineStr">
        <is>
          <t>RATIO DE ENDEUDAMIENTO</t>
        </is>
      </c>
      <c r="E23" s="19">
        <f>IFERROR(E17/E5,0)</f>
        <v>0.530205655526992</v>
      </c>
    </row>
    <row r="24">
      <c r="A24" s="20" t="inlineStr">
        <is>
          <t>Deudas sobre activos. Por debajo del 40% se considera cómodo.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
  <sheetViews>
    <sheetView showGridLines="0" tabSelected="0" workbookViewId="0">
      <pane ySplit="4" topLeftCell="A5" activePane="bottomLeft" state="frozen"/>
      <selection pane="bottomLeft" activeCell="A1" sqref="A1"/>
    </sheetView>
  </sheetViews>
  <sheetFormatPr baseColWidth="8" defaultRowHeight="15"/>
  <cols>
    <col width="52" customWidth="1" min="1" max="1"/>
    <col width="14" customWidth="1" min="2" max="2"/>
    <col width="14" customWidth="1" min="3" max="3"/>
    <col width="14" customWidth="1" min="4" max="4"/>
    <col width="14" customWidth="1" min="5" max="5"/>
    <col width="3" customWidth="1" min="6" max="6"/>
    <col width="110" customWidth="1" min="7" max="7"/>
  </cols>
  <sheetData>
    <row r="1">
      <c r="A1" s="1" t="inlineStr">
        <is>
          <t>INGRESOS Y GASTOS — Familia de ejemplo (Ana, Luis y Leo)</t>
        </is>
      </c>
    </row>
    <row r="2">
      <c r="A2" s="4" t="inlineStr">
        <is>
          <t>CIFRAS INVENTADAS. Sustitúyelas por las tuyas: columna B si el gasto es mensual, columna C si es anual (nunca las dos). La columna G es para apuntar de dónde sale cada dato.</t>
        </is>
      </c>
    </row>
    <row r="4" ht="20" customHeight="1">
      <c r="A4" s="21" t="inlineStr">
        <is>
          <t>INGRESOS</t>
        </is>
      </c>
      <c r="B4" s="22" t="inlineStr">
        <is>
          <t>MENSUAL</t>
        </is>
      </c>
      <c r="C4" s="22" t="inlineStr">
        <is>
          <t>ANUAL</t>
        </is>
      </c>
      <c r="D4" s="22" t="inlineStr">
        <is>
          <t>TOTAL ANUAL</t>
        </is>
      </c>
      <c r="E4" s="22" t="inlineStr">
        <is>
          <t>%</t>
        </is>
      </c>
      <c r="F4" s="22" t="inlineStr"/>
      <c r="G4" s="21" t="inlineStr">
        <is>
          <t>Origen del dato · avisos</t>
        </is>
      </c>
    </row>
    <row r="5">
      <c r="A5" s="23" t="inlineStr">
        <is>
          <t>Laborales</t>
        </is>
      </c>
      <c r="B5" s="81">
        <f>SUM(B6:B10)</f>
        <v>4040</v>
      </c>
      <c r="C5" s="81">
        <f>SUM(C6:C10)</f>
        <v>1200</v>
      </c>
      <c r="D5" s="81">
        <f>SUM(D6:D10)</f>
        <v>49680</v>
      </c>
      <c r="E5" s="25">
        <f>IFERROR(D5/$D$15,0)</f>
        <v>0.993997599039616</v>
      </c>
    </row>
    <row r="6">
      <c r="A6" s="26" t="inlineStr">
        <is>
          <t>Nómina neta Ana</t>
        </is>
      </c>
      <c r="B6" s="79" t="n">
        <v>2100</v>
      </c>
      <c r="C6" s="79" t="n"/>
      <c r="D6" s="79">
        <f>IF(B6&gt;0,B6*12,C6)</f>
        <v>25200</v>
      </c>
      <c r="E6" s="27">
        <f>IFERROR(D6/$D$15,0)</f>
        <v>0.504201680672269</v>
      </c>
      <c r="G6" s="28" t="inlineStr">
        <is>
          <t>EJEMPLO. Lo que entra en la cuenta cada mes (neto). Si cobras pagas extra prorrateadas, pon el neto mensual; si no, pon el total anual en la columna C</t>
        </is>
      </c>
    </row>
    <row r="7">
      <c r="A7" s="26" t="inlineStr">
        <is>
          <t>Nómina neta Luis</t>
        </is>
      </c>
      <c r="B7" s="79" t="n">
        <v>1850</v>
      </c>
      <c r="C7" s="79" t="n"/>
      <c r="D7" s="79">
        <f>IF(B7&gt;0,B7*12,C7)</f>
        <v>22200</v>
      </c>
      <c r="E7" s="27">
        <f>IFERROR(D7/$D$15,0)</f>
        <v>0.444177671068427</v>
      </c>
      <c r="G7" s="28" t="inlineStr">
        <is>
          <t>EJEMPLO. Mismo criterio que la fila de arriba</t>
        </is>
      </c>
    </row>
    <row r="8">
      <c r="A8" s="26" t="inlineStr">
        <is>
          <t>Retribución flexible (seguro médico de empresa)</t>
        </is>
      </c>
      <c r="B8" s="79" t="n">
        <v>90</v>
      </c>
      <c r="C8" s="79" t="n"/>
      <c r="D8" s="79">
        <f>IF(B8&gt;0,B8*12,C8)</f>
        <v>1080</v>
      </c>
      <c r="E8" s="27">
        <f>IFERROR(D8/$D$15,0)</f>
        <v>0.021608643457383</v>
      </c>
      <c r="G8" s="28" t="inlineStr">
        <is>
          <t>EJEMPLO. Si la empresa te paga algo en especie (seguro, ticket, plan de pensiones), entra como ingreso y sale como gasto: así el total es honesto</t>
        </is>
      </c>
    </row>
    <row r="9">
      <c r="A9" s="26" t="inlineStr">
        <is>
          <t>Ingresos extra (variable)</t>
        </is>
      </c>
      <c r="B9" s="79" t="n"/>
      <c r="C9" s="79" t="n">
        <v>1200</v>
      </c>
      <c r="D9" s="79">
        <f>IF(B9&gt;0,B9*12,C9)</f>
        <v>1200</v>
      </c>
      <c r="E9" s="27">
        <f>IFERROR(D9/$D$15,0)</f>
        <v>0.0240096038415366</v>
      </c>
      <c r="G9" s="28" t="inlineStr">
        <is>
          <t>EJEMPLO. Freelance, bonus, ventas de segunda mano… Anual y sin inflar: solo lo que de verdad cobras</t>
        </is>
      </c>
    </row>
    <row r="10">
      <c r="A10" s="26" t="n"/>
      <c r="B10" s="79" t="n"/>
      <c r="C10" s="79" t="n"/>
      <c r="D10" s="79">
        <f>IF(B10&gt;0,B10*12,C10)</f>
        <v>0</v>
      </c>
      <c r="E10" s="27">
        <f>IFERROR(D10/$D$15,0)</f>
        <v>0</v>
      </c>
    </row>
    <row r="11">
      <c r="A11" s="23" t="inlineStr">
        <is>
          <t>Inversiones</t>
        </is>
      </c>
      <c r="B11" s="81">
        <f>SUM(B12:B14)</f>
        <v>0</v>
      </c>
      <c r="C11" s="81">
        <f>SUM(C12:C14)</f>
        <v>300</v>
      </c>
      <c r="D11" s="81">
        <f>SUM(D12:D14)</f>
        <v>300</v>
      </c>
      <c r="E11" s="25">
        <f>IFERROR(D11/$D$15,0)</f>
        <v>0.00600240096038415</v>
      </c>
    </row>
    <row r="12">
      <c r="A12" s="26" t="inlineStr">
        <is>
          <t>Intereses cuentas y depósitos</t>
        </is>
      </c>
      <c r="B12" s="79" t="n"/>
      <c r="C12" s="79" t="n">
        <v>300</v>
      </c>
      <c r="D12" s="79">
        <f>IF(B12&gt;0,B12*12,C12)</f>
        <v>300</v>
      </c>
      <c r="E12" s="27">
        <f>IFERROR(D12/$D$15,0)</f>
        <v>0.00600240096038415</v>
      </c>
      <c r="G12" s="28" t="inlineStr">
        <is>
          <t>EJEMPLO. Intereses brutos al año de la cuenta remunerada (antes de la retención de Hacienda)</t>
        </is>
      </c>
    </row>
    <row r="13">
      <c r="A13" s="26" t="n"/>
      <c r="B13" s="79" t="n"/>
      <c r="C13" s="79" t="n"/>
      <c r="D13" s="79">
        <f>IF(B13&gt;0,B13*12,C13)</f>
        <v>0</v>
      </c>
      <c r="E13" s="27">
        <f>IFERROR(D13/$D$15,0)</f>
        <v>0</v>
      </c>
    </row>
    <row r="14">
      <c r="A14" s="26" t="n"/>
      <c r="B14" s="79" t="n"/>
      <c r="C14" s="79" t="n"/>
      <c r="D14" s="79">
        <f>IF(B14&gt;0,B14*12,C14)</f>
        <v>0</v>
      </c>
      <c r="E14" s="27">
        <f>IFERROR(D14/$D$15,0)</f>
        <v>0</v>
      </c>
    </row>
    <row r="15">
      <c r="A15" s="29" t="inlineStr">
        <is>
          <t>TOTAL INGRESOS</t>
        </is>
      </c>
      <c r="B15" s="30" t="n"/>
      <c r="C15" s="30" t="n"/>
      <c r="D15" s="82">
        <f>D5+D11</f>
        <v>49980</v>
      </c>
      <c r="E15" s="30" t="n"/>
    </row>
    <row r="17" ht="20" customHeight="1">
      <c r="A17" s="21" t="inlineStr">
        <is>
          <t>GASTOS</t>
        </is>
      </c>
      <c r="B17" s="22" t="inlineStr">
        <is>
          <t>MENSUAL</t>
        </is>
      </c>
      <c r="C17" s="22" t="inlineStr">
        <is>
          <t>ANUAL</t>
        </is>
      </c>
      <c r="D17" s="22" t="inlineStr">
        <is>
          <t>TOTAL ANUAL</t>
        </is>
      </c>
      <c r="E17" s="22" t="inlineStr">
        <is>
          <t>%</t>
        </is>
      </c>
      <c r="F17" s="22" t="inlineStr"/>
      <c r="G17" s="21" t="inlineStr">
        <is>
          <t>Origen del dato · avisos</t>
        </is>
      </c>
    </row>
    <row r="18" ht="18" customHeight="1">
      <c r="A18" s="8" t="inlineStr">
        <is>
          <t>INDISPENSABLES</t>
        </is>
      </c>
      <c r="B18" s="9" t="n"/>
      <c r="C18" s="9" t="n"/>
      <c r="D18" s="78">
        <f>D19+D27+D32</f>
        <v>13960</v>
      </c>
      <c r="E18" s="32">
        <f>IFERROR(D18/$D$96,0)</f>
        <v>0.359626977175537</v>
      </c>
    </row>
    <row r="19">
      <c r="A19" s="33" t="inlineStr">
        <is>
          <t xml:space="preserve">   Vivienda habitual</t>
        </is>
      </c>
      <c r="B19" s="83">
        <f>SUM(B20:B26)</f>
        <v>820</v>
      </c>
      <c r="C19" s="83">
        <f>SUM(C20:C26)</f>
        <v>880</v>
      </c>
      <c r="D19" s="83">
        <f>SUM(D20:D26)</f>
        <v>10720</v>
      </c>
      <c r="E19" s="35">
        <f>IFERROR(D19/$D$96,0)</f>
        <v>0.27616054407749</v>
      </c>
    </row>
    <row r="20">
      <c r="A20" s="26" t="inlineStr">
        <is>
          <t>Hipoteca / alquiler</t>
        </is>
      </c>
      <c r="B20" s="79" t="n">
        <v>750</v>
      </c>
      <c r="C20" s="79" t="n"/>
      <c r="D20" s="79">
        <f>IF(B20&gt;0,B20*12,C20)</f>
        <v>9000</v>
      </c>
      <c r="E20" s="84">
        <f>IFERROR(D20/$D$96,0)</f>
        <v>0.231851203050131</v>
      </c>
      <c r="G20" s="28" t="inlineStr">
        <is>
          <t>EJEMPLO. Cuota mensual</t>
        </is>
      </c>
    </row>
    <row r="21">
      <c r="A21" s="26" t="inlineStr">
        <is>
          <t>Comunidad</t>
        </is>
      </c>
      <c r="B21" s="79" t="n">
        <v>70</v>
      </c>
      <c r="C21" s="79" t="n"/>
      <c r="D21" s="79">
        <f>IF(B21&gt;0,B21*12,C21)</f>
        <v>840</v>
      </c>
      <c r="E21" s="84">
        <f>IFERROR(D21/$D$96,0)</f>
        <v>0.0216394456180123</v>
      </c>
      <c r="G21" s="28" t="inlineStr">
        <is>
          <t>EJEMPLO</t>
        </is>
      </c>
    </row>
    <row r="22">
      <c r="A22" s="26" t="inlineStr">
        <is>
          <t>Seguro vivienda</t>
        </is>
      </c>
      <c r="B22" s="79" t="n"/>
      <c r="C22" s="79" t="n">
        <v>320</v>
      </c>
      <c r="D22" s="79">
        <f>IF(B22&gt;0,B22*12,C22)</f>
        <v>320</v>
      </c>
      <c r="E22" s="84">
        <f>IFERROR(D22/$D$96,0)</f>
        <v>0.00824359833067134</v>
      </c>
      <c r="G22" s="28" t="inlineStr">
        <is>
          <t>EJEMPLO. Recibo anual</t>
        </is>
      </c>
    </row>
    <row r="23">
      <c r="A23" s="26" t="inlineStr">
        <is>
          <t>IBI</t>
        </is>
      </c>
      <c r="B23" s="79" t="n"/>
      <c r="C23" s="79" t="n">
        <v>450</v>
      </c>
      <c r="D23" s="79">
        <f>IF(B23&gt;0,B23*12,C23)</f>
        <v>450</v>
      </c>
      <c r="E23" s="84">
        <f>IFERROR(D23/$D$96,0)</f>
        <v>0.0115925601525066</v>
      </c>
      <c r="G23" s="28" t="inlineStr">
        <is>
          <t>EJEMPLO. Recibo anual del ayuntamiento</t>
        </is>
      </c>
    </row>
    <row r="24">
      <c r="A24" s="26" t="inlineStr">
        <is>
          <t>Tasa basuras</t>
        </is>
      </c>
      <c r="B24" s="79" t="n"/>
      <c r="C24" s="79" t="n">
        <v>110</v>
      </c>
      <c r="D24" s="79">
        <f>IF(B24&gt;0,B24*12,C24)</f>
        <v>110</v>
      </c>
      <c r="E24" s="84">
        <f>IFERROR(D24/$D$96,0)</f>
        <v>0.00283373692616827</v>
      </c>
      <c r="G24" s="28" t="inlineStr">
        <is>
          <t>EJEMPLO</t>
        </is>
      </c>
    </row>
    <row r="25">
      <c r="A25" s="26" t="n"/>
      <c r="B25" s="79" t="n"/>
      <c r="C25" s="79" t="n"/>
      <c r="D25" s="79">
        <f>IF(B25&gt;0,B25*12,C25)</f>
        <v>0</v>
      </c>
      <c r="E25" s="84">
        <f>IFERROR(D25/$D$96,0)</f>
        <v>0</v>
      </c>
    </row>
    <row r="26">
      <c r="A26" s="26" t="n"/>
      <c r="B26" s="79" t="n"/>
      <c r="C26" s="79" t="n"/>
      <c r="D26" s="79">
        <f>IF(B26&gt;0,B26*12,C26)</f>
        <v>0</v>
      </c>
      <c r="E26" s="84">
        <f>IFERROR(D26/$D$96,0)</f>
        <v>0</v>
      </c>
    </row>
    <row r="27">
      <c r="A27" s="33" t="inlineStr">
        <is>
          <t xml:space="preserve">   Seguros</t>
        </is>
      </c>
      <c r="B27" s="83">
        <f>SUM(B28:B31)</f>
        <v>90</v>
      </c>
      <c r="C27" s="83">
        <f>SUM(C28:C31)</f>
        <v>360</v>
      </c>
      <c r="D27" s="83">
        <f>SUM(D28:D31)</f>
        <v>1440</v>
      </c>
      <c r="E27" s="35">
        <f>IFERROR(D27/$D$96,0)</f>
        <v>0.037096192488021</v>
      </c>
    </row>
    <row r="28">
      <c r="A28" s="26" t="inlineStr">
        <is>
          <t>Seguro de vida</t>
        </is>
      </c>
      <c r="B28" s="79" t="n"/>
      <c r="C28" s="79" t="n">
        <v>360</v>
      </c>
      <c r="D28" s="79">
        <f>IF(B28&gt;0,B28*12,C28)</f>
        <v>360</v>
      </c>
      <c r="E28" s="84">
        <f>IFERROR(D28/$D$96,0)</f>
        <v>0.00927404812200526</v>
      </c>
      <c r="G28" s="28" t="inlineStr">
        <is>
          <t>EJEMPLO. Suele ir ligado a la hipoteca: revisa si cubre solo la deuda o también a la familia</t>
        </is>
      </c>
    </row>
    <row r="29">
      <c r="A29" s="26" t="inlineStr">
        <is>
          <t>Seguro de salud</t>
        </is>
      </c>
      <c r="B29" s="79" t="n">
        <v>90</v>
      </c>
      <c r="C29" s="79" t="n"/>
      <c r="D29" s="79">
        <f>IF(B29&gt;0,B29*12,C29)</f>
        <v>1080</v>
      </c>
      <c r="E29" s="84">
        <f>IFERROR(D29/$D$96,0)</f>
        <v>0.0278221443660158</v>
      </c>
      <c r="G29" s="28" t="inlineStr">
        <is>
          <t>EJEMPLO. Si te lo paga la empresa, aparece también arriba como retribución flexible</t>
        </is>
      </c>
    </row>
    <row r="30">
      <c r="A30" s="26" t="n"/>
      <c r="B30" s="79" t="n"/>
      <c r="C30" s="79" t="n"/>
      <c r="D30" s="79">
        <f>IF(B30&gt;0,B30*12,C30)</f>
        <v>0</v>
      </c>
      <c r="E30" s="84">
        <f>IFERROR(D30/$D$96,0)</f>
        <v>0</v>
      </c>
    </row>
    <row r="31">
      <c r="A31" s="26" t="n"/>
      <c r="B31" s="79" t="n"/>
      <c r="C31" s="79" t="n"/>
      <c r="D31" s="79">
        <f>IF(B31&gt;0,B31*12,C31)</f>
        <v>0</v>
      </c>
      <c r="E31" s="84">
        <f>IFERROR(D31/$D$96,0)</f>
        <v>0</v>
      </c>
    </row>
    <row r="32">
      <c r="A32" s="33" t="inlineStr">
        <is>
          <t xml:space="preserve">   Ahorro / Inversión</t>
        </is>
      </c>
      <c r="B32" s="83">
        <f>SUM(B33:B35)</f>
        <v>150</v>
      </c>
      <c r="C32" s="83">
        <f>SUM(C33:C35)</f>
        <v>0</v>
      </c>
      <c r="D32" s="83">
        <f>SUM(D33:D35)</f>
        <v>1800</v>
      </c>
      <c r="E32" s="35">
        <f>IFERROR(D32/$D$96,0)</f>
        <v>0.0463702406100263</v>
      </c>
    </row>
    <row r="33">
      <c r="A33" s="26" t="inlineStr">
        <is>
          <t>Jubilación (plan de pensiones)</t>
        </is>
      </c>
      <c r="B33" s="79" t="n">
        <v>150</v>
      </c>
      <c r="C33" s="79" t="n"/>
      <c r="D33" s="79">
        <f>IF(B33&gt;0,B33*12,C33)</f>
        <v>1800</v>
      </c>
      <c r="E33" s="84">
        <f>IFERROR(D33/$D$96,0)</f>
        <v>0.0463702406100263</v>
      </c>
      <c r="G33" s="28" t="inlineStr">
        <is>
          <t>EJEMPLO. Aportación mensual al plan. No es dinero disponible: por eso va aquí como gasto y no en el ahorro del final. La pestaña «Panel» la lee de esta fila</t>
        </is>
      </c>
    </row>
    <row r="34">
      <c r="A34" s="26" t="n"/>
      <c r="B34" s="79" t="n"/>
      <c r="C34" s="79" t="n"/>
      <c r="D34" s="79">
        <f>IF(B34&gt;0,B34*12,C34)</f>
        <v>0</v>
      </c>
      <c r="E34" s="84">
        <f>IFERROR(D34/$D$96,0)</f>
        <v>0</v>
      </c>
    </row>
    <row r="35">
      <c r="A35" s="26" t="n"/>
      <c r="B35" s="79" t="n"/>
      <c r="C35" s="79" t="n"/>
      <c r="D35" s="79">
        <f>IF(B35&gt;0,B35*12,C35)</f>
        <v>0</v>
      </c>
      <c r="E35" s="84">
        <f>IFERROR(D35/$D$96,0)</f>
        <v>0</v>
      </c>
    </row>
    <row r="37" ht="18" customHeight="1">
      <c r="A37" s="8" t="inlineStr">
        <is>
          <t>NECESARIOS</t>
        </is>
      </c>
      <c r="B37" s="9" t="n"/>
      <c r="C37" s="9" t="n"/>
      <c r="D37" s="78">
        <f>D38+D46+D51+D57+D64</f>
        <v>18590</v>
      </c>
      <c r="E37" s="32">
        <f>IFERROR(D37/$D$96,0)</f>
        <v>0.478901540522438</v>
      </c>
    </row>
    <row r="38">
      <c r="A38" s="33" t="inlineStr">
        <is>
          <t xml:space="preserve">   Recibos y servicios del hogar</t>
        </is>
      </c>
      <c r="B38" s="83">
        <f>SUM(B39:B45)</f>
        <v>100</v>
      </c>
      <c r="C38" s="83">
        <f>SUM(C39:C45)</f>
        <v>910</v>
      </c>
      <c r="D38" s="83">
        <f>SUM(D39:D45)</f>
        <v>2110</v>
      </c>
      <c r="E38" s="35">
        <f>IFERROR(D38/$D$96,0)</f>
        <v>0.0543562264928641</v>
      </c>
    </row>
    <row r="39">
      <c r="A39" s="26" t="inlineStr">
        <is>
          <t>Agua</t>
        </is>
      </c>
      <c r="B39" s="79" t="n"/>
      <c r="C39" s="79" t="n">
        <v>240</v>
      </c>
      <c r="D39" s="79">
        <f>IF(B39&gt;0,B39*12,C39)</f>
        <v>240</v>
      </c>
      <c r="E39" s="84">
        <f>IFERROR(D39/$D$96,0)</f>
        <v>0.0061826987480035</v>
      </c>
      <c r="G39" s="28" t="inlineStr">
        <is>
          <t>EJEMPLO. Suma de los recibos del año</t>
        </is>
      </c>
    </row>
    <row r="40">
      <c r="A40" s="26" t="inlineStr">
        <is>
          <t>Luz</t>
        </is>
      </c>
      <c r="B40" s="79" t="n">
        <v>55</v>
      </c>
      <c r="C40" s="79" t="n"/>
      <c r="D40" s="79">
        <f>IF(B40&gt;0,B40*12,C40)</f>
        <v>660</v>
      </c>
      <c r="E40" s="84">
        <f>IFERROR(D40/$D$96,0)</f>
        <v>0.0170024215570096</v>
      </c>
      <c r="G40" s="28" t="inlineStr">
        <is>
          <t>EJEMPLO</t>
        </is>
      </c>
    </row>
    <row r="41">
      <c r="A41" s="26" t="inlineStr">
        <is>
          <t>Gas / calefacción</t>
        </is>
      </c>
      <c r="B41" s="79" t="n"/>
      <c r="C41" s="79" t="n">
        <v>420</v>
      </c>
      <c r="D41" s="79">
        <f>IF(B41&gt;0,B41*12,C41)</f>
        <v>420</v>
      </c>
      <c r="E41" s="84">
        <f>IFERROR(D41/$D$96,0)</f>
        <v>0.0108197228090061</v>
      </c>
      <c r="G41" s="28" t="inlineStr">
        <is>
          <t>EJEMPLO. Muy estacional: mejor el total anual</t>
        </is>
      </c>
    </row>
    <row r="42">
      <c r="A42" s="26" t="inlineStr">
        <is>
          <t>Teléfono / Internet</t>
        </is>
      </c>
      <c r="B42" s="79" t="n">
        <v>45</v>
      </c>
      <c r="C42" s="79" t="n"/>
      <c r="D42" s="79">
        <f>IF(B42&gt;0,B42*12,C42)</f>
        <v>540</v>
      </c>
      <c r="E42" s="84">
        <f>IFERROR(D42/$D$96,0)</f>
        <v>0.0139110721830079</v>
      </c>
      <c r="G42" s="28" t="inlineStr">
        <is>
          <t>EJEMPLO</t>
        </is>
      </c>
    </row>
    <row r="43">
      <c r="A43" s="26" t="inlineStr">
        <is>
          <t>Mantenimiento del hogar</t>
        </is>
      </c>
      <c r="B43" s="79" t="n"/>
      <c r="C43" s="79" t="n">
        <v>250</v>
      </c>
      <c r="D43" s="79">
        <f>IF(B43&gt;0,B43*12,C43)</f>
        <v>250</v>
      </c>
      <c r="E43" s="84">
        <f>IFERROR(D43/$D$96,0)</f>
        <v>0.00644031119583698</v>
      </c>
      <c r="G43" s="28" t="inlineStr">
        <is>
          <t>EJEMPLO. Revisión de la caldera, pequeñas reparaciones</t>
        </is>
      </c>
    </row>
    <row r="44">
      <c r="A44" s="26" t="n"/>
      <c r="B44" s="79" t="n"/>
      <c r="C44" s="79" t="n"/>
      <c r="D44" s="79">
        <f>IF(B44&gt;0,B44*12,C44)</f>
        <v>0</v>
      </c>
      <c r="E44" s="84">
        <f>IFERROR(D44/$D$96,0)</f>
        <v>0</v>
      </c>
    </row>
    <row r="45">
      <c r="A45" s="26" t="n"/>
      <c r="B45" s="79" t="n"/>
      <c r="C45" s="79" t="n"/>
      <c r="D45" s="79">
        <f>IF(B45&gt;0,B45*12,C45)</f>
        <v>0</v>
      </c>
      <c r="E45" s="84">
        <f>IFERROR(D45/$D$96,0)</f>
        <v>0</v>
      </c>
    </row>
    <row r="46">
      <c r="A46" s="33" t="inlineStr">
        <is>
          <t xml:space="preserve">   Alimentación</t>
        </is>
      </c>
      <c r="B46" s="83">
        <f>SUM(B47:B50)</f>
        <v>580</v>
      </c>
      <c r="C46" s="83">
        <f>SUM(C47:C50)</f>
        <v>0</v>
      </c>
      <c r="D46" s="83">
        <f>SUM(D47:D50)</f>
        <v>6960</v>
      </c>
      <c r="E46" s="35">
        <f>IFERROR(D46/$D$96,0)</f>
        <v>0.179298263692102</v>
      </c>
    </row>
    <row r="47">
      <c r="A47" s="26" t="inlineStr">
        <is>
          <t>Supermercado</t>
        </is>
      </c>
      <c r="B47" s="79" t="n">
        <v>520</v>
      </c>
      <c r="C47" s="79" t="n"/>
      <c r="D47" s="79">
        <f>IF(B47&gt;0,B47*12,C47)</f>
        <v>6240</v>
      </c>
      <c r="E47" s="84">
        <f>IFERROR(D47/$D$96,0)</f>
        <v>0.160750167448091</v>
      </c>
      <c r="G47" s="28" t="inlineStr">
        <is>
          <t>EJEMPLO. Truco: suma los cargos de supermercados de 3 meses del extracto y divide entre 3</t>
        </is>
      </c>
    </row>
    <row r="48">
      <c r="A48" s="26" t="inlineStr">
        <is>
          <t>Fruterías / mercado</t>
        </is>
      </c>
      <c r="B48" s="79" t="n">
        <v>60</v>
      </c>
      <c r="C48" s="79" t="n"/>
      <c r="D48" s="79">
        <f>IF(B48&gt;0,B48*12,C48)</f>
        <v>720</v>
      </c>
      <c r="E48" s="84">
        <f>IFERROR(D48/$D$96,0)</f>
        <v>0.0185480962440105</v>
      </c>
      <c r="G48" s="28" t="inlineStr">
        <is>
          <t>EJEMPLO</t>
        </is>
      </c>
    </row>
    <row r="49">
      <c r="A49" s="26" t="n"/>
      <c r="B49" s="79" t="n"/>
      <c r="C49" s="79" t="n"/>
      <c r="D49" s="79">
        <f>IF(B49&gt;0,B49*12,C49)</f>
        <v>0</v>
      </c>
      <c r="E49" s="84">
        <f>IFERROR(D49/$D$96,0)</f>
        <v>0</v>
      </c>
    </row>
    <row r="50">
      <c r="A50" s="26" t="n"/>
      <c r="B50" s="79" t="n"/>
      <c r="C50" s="79" t="n"/>
      <c r="D50" s="79">
        <f>IF(B50&gt;0,B50*12,C50)</f>
        <v>0</v>
      </c>
      <c r="E50" s="84">
        <f>IFERROR(D50/$D$96,0)</f>
        <v>0</v>
      </c>
    </row>
    <row r="51">
      <c r="A51" s="33" t="inlineStr">
        <is>
          <t xml:space="preserve">   Cuidado personal / familiar</t>
        </is>
      </c>
      <c r="B51" s="83">
        <f>SUM(B52:B56)</f>
        <v>0</v>
      </c>
      <c r="C51" s="83">
        <f>SUM(C52:C56)</f>
        <v>1650</v>
      </c>
      <c r="D51" s="83">
        <f>SUM(D52:D56)</f>
        <v>1650</v>
      </c>
      <c r="E51" s="35">
        <f>IFERROR(D51/$D$96,0)</f>
        <v>0.0425060538925241</v>
      </c>
    </row>
    <row r="52">
      <c r="A52" s="26" t="inlineStr">
        <is>
          <t>Ropa y calzado</t>
        </is>
      </c>
      <c r="B52" s="79" t="n"/>
      <c r="C52" s="79" t="n">
        <v>1100</v>
      </c>
      <c r="D52" s="79">
        <f>IF(B52&gt;0,B52*12,C52)</f>
        <v>1100</v>
      </c>
      <c r="E52" s="84">
        <f>IFERROR(D52/$D$96,0)</f>
        <v>0.0283373692616827</v>
      </c>
      <c r="G52" s="28" t="inlineStr">
        <is>
          <t>EJEMPLO</t>
        </is>
      </c>
    </row>
    <row r="53">
      <c r="A53" s="26" t="inlineStr">
        <is>
          <t>Farmacia / médicos</t>
        </is>
      </c>
      <c r="B53" s="79" t="n"/>
      <c r="C53" s="79" t="n">
        <v>250</v>
      </c>
      <c r="D53" s="79">
        <f>IF(B53&gt;0,B53*12,C53)</f>
        <v>250</v>
      </c>
      <c r="E53" s="84">
        <f>IFERROR(D53/$D$96,0)</f>
        <v>0.00644031119583698</v>
      </c>
      <c r="G53" s="28" t="inlineStr">
        <is>
          <t>EJEMPLO</t>
        </is>
      </c>
    </row>
    <row r="54">
      <c r="A54" s="26" t="inlineStr">
        <is>
          <t>Peluquería y cosmética</t>
        </is>
      </c>
      <c r="B54" s="79" t="n"/>
      <c r="C54" s="79" t="n">
        <v>300</v>
      </c>
      <c r="D54" s="79">
        <f>IF(B54&gt;0,B54*12,C54)</f>
        <v>300</v>
      </c>
      <c r="E54" s="84">
        <f>IFERROR(D54/$D$96,0)</f>
        <v>0.00772837343500438</v>
      </c>
      <c r="G54" s="28" t="inlineStr">
        <is>
          <t>EJEMPLO</t>
        </is>
      </c>
    </row>
    <row r="55">
      <c r="A55" s="26" t="n"/>
      <c r="B55" s="79" t="n"/>
      <c r="C55" s="79" t="n"/>
      <c r="D55" s="79">
        <f>IF(B55&gt;0,B55*12,C55)</f>
        <v>0</v>
      </c>
      <c r="E55" s="84">
        <f>IFERROR(D55/$D$96,0)</f>
        <v>0</v>
      </c>
    </row>
    <row r="56">
      <c r="A56" s="26" t="n"/>
      <c r="B56" s="79" t="n"/>
      <c r="C56" s="79" t="n"/>
      <c r="D56" s="79">
        <f>IF(B56&gt;0,B56*12,C56)</f>
        <v>0</v>
      </c>
      <c r="E56" s="84">
        <f>IFERROR(D56/$D$96,0)</f>
        <v>0</v>
      </c>
    </row>
    <row r="57">
      <c r="A57" s="33" t="inlineStr">
        <is>
          <t xml:space="preserve">   Educación / cuidado de los hijos</t>
        </is>
      </c>
      <c r="B57" s="83">
        <f>SUM(B58:B63)</f>
        <v>320</v>
      </c>
      <c r="C57" s="83">
        <f>SUM(C58:C63)</f>
        <v>1550</v>
      </c>
      <c r="D57" s="83">
        <f>SUM(D58:D63)</f>
        <v>5390</v>
      </c>
      <c r="E57" s="35">
        <f>IFERROR(D57/$D$96,0)</f>
        <v>0.138853109382245</v>
      </c>
    </row>
    <row r="58">
      <c r="A58" s="26" t="inlineStr">
        <is>
          <t>Guardería / colegio</t>
        </is>
      </c>
      <c r="B58" s="79" t="n">
        <v>280</v>
      </c>
      <c r="C58" s="79" t="n"/>
      <c r="D58" s="79">
        <f>IF(B58&gt;0,B58*12,C58)</f>
        <v>3360</v>
      </c>
      <c r="E58" s="84">
        <f>IFERROR(D58/$D$96,0)</f>
        <v>0.0865577824720491</v>
      </c>
      <c r="G58" s="28" t="inlineStr">
        <is>
          <t>EJEMPLO</t>
        </is>
      </c>
    </row>
    <row r="59">
      <c r="A59" s="26" t="inlineStr">
        <is>
          <t>Comedor escolar</t>
        </is>
      </c>
      <c r="B59" s="79" t="n"/>
      <c r="C59" s="79" t="n">
        <v>1300</v>
      </c>
      <c r="D59" s="79">
        <f>IF(B59&gt;0,B59*12,C59)</f>
        <v>1300</v>
      </c>
      <c r="E59" s="84">
        <f>IFERROR(D59/$D$96,0)</f>
        <v>0.0334896182183523</v>
      </c>
      <c r="G59" s="28" t="inlineStr">
        <is>
          <t>EJEMPLO. Curso completo (normalmente no se cobra en verano)</t>
        </is>
      </c>
    </row>
    <row r="60">
      <c r="A60" s="26" t="inlineStr">
        <is>
          <t>Libros, material y uniforme</t>
        </is>
      </c>
      <c r="B60" s="79" t="n"/>
      <c r="C60" s="79" t="n">
        <v>250</v>
      </c>
      <c r="D60" s="79">
        <f>IF(B60&gt;0,B60*12,C60)</f>
        <v>250</v>
      </c>
      <c r="E60" s="84">
        <f>IFERROR(D60/$D$96,0)</f>
        <v>0.00644031119583698</v>
      </c>
      <c r="G60" s="28" t="inlineStr">
        <is>
          <t>EJEMPLO</t>
        </is>
      </c>
    </row>
    <row r="61">
      <c r="A61" s="26" t="inlineStr">
        <is>
          <t>Actividades extraescolares</t>
        </is>
      </c>
      <c r="B61" s="79" t="n">
        <v>40</v>
      </c>
      <c r="C61" s="79" t="n"/>
      <c r="D61" s="79">
        <f>IF(B61&gt;0,B61*12,C61)</f>
        <v>480</v>
      </c>
      <c r="E61" s="84">
        <f>IFERROR(D61/$D$96,0)</f>
        <v>0.012365397496007</v>
      </c>
      <c r="G61" s="28" t="inlineStr">
        <is>
          <t>EJEMPLO</t>
        </is>
      </c>
    </row>
    <row r="62">
      <c r="A62" s="26" t="n"/>
      <c r="B62" s="79" t="n"/>
      <c r="C62" s="79" t="n"/>
      <c r="D62" s="79">
        <f>IF(B62&gt;0,B62*12,C62)</f>
        <v>0</v>
      </c>
      <c r="E62" s="84">
        <f>IFERROR(D62/$D$96,0)</f>
        <v>0</v>
      </c>
    </row>
    <row r="63">
      <c r="A63" s="26" t="n"/>
      <c r="B63" s="79" t="n"/>
      <c r="C63" s="79" t="n"/>
      <c r="D63" s="79">
        <f>IF(B63&gt;0,B63*12,C63)</f>
        <v>0</v>
      </c>
      <c r="E63" s="84">
        <f>IFERROR(D63/$D$96,0)</f>
        <v>0</v>
      </c>
    </row>
    <row r="64">
      <c r="A64" s="33" t="inlineStr">
        <is>
          <t xml:space="preserve">   Transporte</t>
        </is>
      </c>
      <c r="B64" s="83">
        <f>SUM(B65:B71)</f>
        <v>130</v>
      </c>
      <c r="C64" s="83">
        <f>SUM(C65:C71)</f>
        <v>920</v>
      </c>
      <c r="D64" s="83">
        <f>SUM(D65:D71)</f>
        <v>2480</v>
      </c>
      <c r="E64" s="35">
        <f>IFERROR(D64/$D$96,0)</f>
        <v>0.0638878870627029</v>
      </c>
    </row>
    <row r="65">
      <c r="A65" s="26" t="inlineStr">
        <is>
          <t>Gasolina</t>
        </is>
      </c>
      <c r="B65" s="79" t="n">
        <v>110</v>
      </c>
      <c r="C65" s="79" t="n"/>
      <c r="D65" s="79">
        <f>IF(B65&gt;0,B65*12,C65)</f>
        <v>1320</v>
      </c>
      <c r="E65" s="84">
        <f>IFERROR(D65/$D$96,0)</f>
        <v>0.0340048431140193</v>
      </c>
      <c r="G65" s="28" t="inlineStr">
        <is>
          <t>EJEMPLO</t>
        </is>
      </c>
    </row>
    <row r="66">
      <c r="A66" s="26" t="inlineStr">
        <is>
          <t>Seguro del coche</t>
        </is>
      </c>
      <c r="B66" s="79" t="n"/>
      <c r="C66" s="79" t="n">
        <v>450</v>
      </c>
      <c r="D66" s="79">
        <f>IF(B66&gt;0,B66*12,C66)</f>
        <v>450</v>
      </c>
      <c r="E66" s="84">
        <f>IFERROR(D66/$D$96,0)</f>
        <v>0.0115925601525066</v>
      </c>
      <c r="G66" s="28" t="inlineStr">
        <is>
          <t>EJEMPLO. Recibo anual</t>
        </is>
      </c>
    </row>
    <row r="67">
      <c r="A67" s="26" t="inlineStr">
        <is>
          <t>Mantenimiento coche (ITV, taller, ruedas)</t>
        </is>
      </c>
      <c r="B67" s="79" t="n"/>
      <c r="C67" s="79" t="n">
        <v>400</v>
      </c>
      <c r="D67" s="79">
        <f>IF(B67&gt;0,B67*12,C67)</f>
        <v>400</v>
      </c>
      <c r="E67" s="84">
        <f>IFERROR(D67/$D$96,0)</f>
        <v>0.0103044979133392</v>
      </c>
      <c r="G67" s="28" t="inlineStr">
        <is>
          <t>EJEMPLO</t>
        </is>
      </c>
    </row>
    <row r="68">
      <c r="A68" s="26" t="inlineStr">
        <is>
          <t>Impuesto de circulación</t>
        </is>
      </c>
      <c r="B68" s="79" t="n"/>
      <c r="C68" s="79" t="n">
        <v>70</v>
      </c>
      <c r="D68" s="79">
        <f>IF(B68&gt;0,B68*12,C68)</f>
        <v>70</v>
      </c>
      <c r="E68" s="84">
        <f>IFERROR(D68/$D$96,0)</f>
        <v>0.00180328713483436</v>
      </c>
      <c r="G68" s="28" t="inlineStr">
        <is>
          <t>EJEMPLO</t>
        </is>
      </c>
    </row>
    <row r="69">
      <c r="A69" s="26" t="inlineStr">
        <is>
          <t>Transporte público / parking</t>
        </is>
      </c>
      <c r="B69" s="79" t="n">
        <v>20</v>
      </c>
      <c r="C69" s="79" t="n"/>
      <c r="D69" s="79">
        <f>IF(B69&gt;0,B69*12,C69)</f>
        <v>240</v>
      </c>
      <c r="E69" s="84">
        <f>IFERROR(D69/$D$96,0)</f>
        <v>0.0061826987480035</v>
      </c>
      <c r="G69" s="28" t="inlineStr">
        <is>
          <t>EJEMPLO</t>
        </is>
      </c>
    </row>
    <row r="70">
      <c r="A70" s="26" t="n"/>
      <c r="B70" s="79" t="n"/>
      <c r="C70" s="79" t="n"/>
      <c r="D70" s="79">
        <f>IF(B70&gt;0,B70*12,C70)</f>
        <v>0</v>
      </c>
      <c r="E70" s="84">
        <f>IFERROR(D70/$D$96,0)</f>
        <v>0</v>
      </c>
    </row>
    <row r="71">
      <c r="A71" s="26" t="n"/>
      <c r="B71" s="79" t="n"/>
      <c r="C71" s="79" t="n"/>
      <c r="D71" s="79">
        <f>IF(B71&gt;0,B71*12,C71)</f>
        <v>0</v>
      </c>
      <c r="E71" s="84">
        <f>IFERROR(D71/$D$96,0)</f>
        <v>0</v>
      </c>
    </row>
    <row r="73" ht="18" customHeight="1">
      <c r="A73" s="8" t="inlineStr">
        <is>
          <t>REVISABLES</t>
        </is>
      </c>
      <c r="B73" s="9" t="n"/>
      <c r="C73" s="9" t="n"/>
      <c r="D73" s="78">
        <f>D74+D77+D84+D90</f>
        <v>6268</v>
      </c>
      <c r="E73" s="32">
        <f>IFERROR(D73/$D$96,0)</f>
        <v>0.161471482302025</v>
      </c>
    </row>
    <row r="74">
      <c r="A74" s="33" t="inlineStr">
        <is>
          <t xml:space="preserve">   Comer y beber fuera</t>
        </is>
      </c>
      <c r="B74" s="83">
        <f>SUM(B75:B76)</f>
        <v>120</v>
      </c>
      <c r="C74" s="83">
        <f>SUM(C75:C76)</f>
        <v>0</v>
      </c>
      <c r="D74" s="83">
        <f>SUM(D75:D76)</f>
        <v>1440</v>
      </c>
      <c r="E74" s="35">
        <f>IFERROR(D74/$D$96,0)</f>
        <v>0.037096192488021</v>
      </c>
    </row>
    <row r="75">
      <c r="A75" s="26" t="inlineStr">
        <is>
          <t>Restaurantes / bares / cafés</t>
        </is>
      </c>
      <c r="B75" s="79" t="n">
        <v>120</v>
      </c>
      <c r="C75" s="79" t="n"/>
      <c r="D75" s="79">
        <f>IF(B75&gt;0,B75*12,C75)</f>
        <v>1440</v>
      </c>
      <c r="E75" s="84">
        <f>IFERROR(D75/$D$96,0)</f>
        <v>0.037096192488021</v>
      </c>
      <c r="G75" s="28" t="inlineStr">
        <is>
          <t>EJEMPLO. Es de lo primero que se recorta en una emergencia</t>
        </is>
      </c>
    </row>
    <row r="76">
      <c r="A76" s="26" t="n"/>
      <c r="B76" s="79" t="n"/>
      <c r="C76" s="79" t="n"/>
      <c r="D76" s="79">
        <f>IF(B76&gt;0,B76*12,C76)</f>
        <v>0</v>
      </c>
      <c r="E76" s="84">
        <f>IFERROR(D76/$D$96,0)</f>
        <v>0</v>
      </c>
    </row>
    <row r="77">
      <c r="A77" s="33" t="inlineStr">
        <is>
          <t xml:space="preserve">   Suscripciones</t>
        </is>
      </c>
      <c r="B77" s="83">
        <f>SUM(B78:B83)</f>
        <v>29</v>
      </c>
      <c r="C77" s="83">
        <f>SUM(C78:C83)</f>
        <v>80</v>
      </c>
      <c r="D77" s="83">
        <f>SUM(D78:D83)</f>
        <v>428</v>
      </c>
      <c r="E77" s="35">
        <f>IFERROR(D77/$D$96,0)</f>
        <v>0.0110258127672729</v>
      </c>
    </row>
    <row r="78">
      <c r="A78" s="26" t="inlineStr">
        <is>
          <t>Plataformas de vídeo</t>
        </is>
      </c>
      <c r="B78" s="79" t="n">
        <v>18</v>
      </c>
      <c r="C78" s="79" t="n"/>
      <c r="D78" s="79">
        <f>IF(B78&gt;0,B78*12,C78)</f>
        <v>216</v>
      </c>
      <c r="E78" s="84">
        <f>IFERROR(D78/$D$96,0)</f>
        <v>0.00556442887320315</v>
      </c>
      <c r="G78" s="28" t="inlineStr">
        <is>
          <t>EJEMPLO</t>
        </is>
      </c>
    </row>
    <row r="79">
      <c r="A79" s="26" t="inlineStr">
        <is>
          <t>Música</t>
        </is>
      </c>
      <c r="B79" s="79" t="n">
        <v>11</v>
      </c>
      <c r="C79" s="79" t="n"/>
      <c r="D79" s="79">
        <f>IF(B79&gt;0,B79*12,C79)</f>
        <v>132</v>
      </c>
      <c r="E79" s="84">
        <f>IFERROR(D79/$D$96,0)</f>
        <v>0.00340048431140193</v>
      </c>
      <c r="G79" s="28" t="inlineStr">
        <is>
          <t>EJEMPLO</t>
        </is>
      </c>
    </row>
    <row r="80">
      <c r="A80" s="26" t="inlineStr">
        <is>
          <t>Almacenamiento en la nube / apps</t>
        </is>
      </c>
      <c r="B80" s="79" t="n"/>
      <c r="C80" s="79" t="n">
        <v>30</v>
      </c>
      <c r="D80" s="79">
        <f>IF(B80&gt;0,B80*12,C80)</f>
        <v>30</v>
      </c>
      <c r="E80" s="84">
        <f>IFERROR(D80/$D$96,0)</f>
        <v>0.000772837343500438</v>
      </c>
      <c r="G80" s="28" t="inlineStr">
        <is>
          <t>EJEMPLO</t>
        </is>
      </c>
    </row>
    <row r="81">
      <c r="A81" s="26" t="inlineStr">
        <is>
          <t>Compras online con cuota anual</t>
        </is>
      </c>
      <c r="B81" s="79" t="n"/>
      <c r="C81" s="79" t="n">
        <v>50</v>
      </c>
      <c r="D81" s="79">
        <f>IF(B81&gt;0,B81*12,C81)</f>
        <v>50</v>
      </c>
      <c r="E81" s="84">
        <f>IFERROR(D81/$D$96,0)</f>
        <v>0.0012880622391674</v>
      </c>
      <c r="G81" s="28" t="inlineStr">
        <is>
          <t>EJEMPLO</t>
        </is>
      </c>
    </row>
    <row r="82">
      <c r="A82" s="26" t="n"/>
      <c r="B82" s="79" t="n"/>
      <c r="C82" s="79" t="n"/>
      <c r="D82" s="79">
        <f>IF(B82&gt;0,B82*12,C82)</f>
        <v>0</v>
      </c>
      <c r="E82" s="84">
        <f>IFERROR(D82/$D$96,0)</f>
        <v>0</v>
      </c>
    </row>
    <row r="83">
      <c r="A83" s="26" t="n"/>
      <c r="B83" s="79" t="n"/>
      <c r="C83" s="79" t="n"/>
      <c r="D83" s="79">
        <f>IF(B83&gt;0,B83*12,C83)</f>
        <v>0</v>
      </c>
      <c r="E83" s="84">
        <f>IFERROR(D83/$D$96,0)</f>
        <v>0</v>
      </c>
    </row>
    <row r="84">
      <c r="A84" s="33" t="inlineStr">
        <is>
          <t xml:space="preserve">   Ocio y tiempo libre</t>
        </is>
      </c>
      <c r="B84" s="83">
        <f>SUM(B85:B89)</f>
        <v>60</v>
      </c>
      <c r="C84" s="83">
        <f>SUM(C85:C89)</f>
        <v>2300</v>
      </c>
      <c r="D84" s="83">
        <f>SUM(D85:D89)</f>
        <v>3020</v>
      </c>
      <c r="E84" s="35">
        <f>IFERROR(D84/$D$96,0)</f>
        <v>0.0777989592457108</v>
      </c>
    </row>
    <row r="85">
      <c r="A85" s="26" t="inlineStr">
        <is>
          <t>Ocio (cine, parques, excursiones)</t>
        </is>
      </c>
      <c r="B85" s="79" t="n">
        <v>60</v>
      </c>
      <c r="C85" s="79" t="n"/>
      <c r="D85" s="79">
        <f>IF(B85&gt;0,B85*12,C85)</f>
        <v>720</v>
      </c>
      <c r="E85" s="84">
        <f>IFERROR(D85/$D$96,0)</f>
        <v>0.0185480962440105</v>
      </c>
      <c r="G85" s="28" t="inlineStr">
        <is>
          <t>EJEMPLO</t>
        </is>
      </c>
    </row>
    <row r="86">
      <c r="A86" s="26" t="inlineStr">
        <is>
          <t>Vacaciones</t>
        </is>
      </c>
      <c r="B86" s="79" t="n"/>
      <c r="C86" s="79" t="n">
        <v>1800</v>
      </c>
      <c r="D86" s="79">
        <f>IF(B86&gt;0,B86*12,C86)</f>
        <v>1800</v>
      </c>
      <c r="E86" s="84">
        <f>IFERROR(D86/$D$96,0)</f>
        <v>0.0463702406100263</v>
      </c>
      <c r="G86" s="28" t="inlineStr">
        <is>
          <t>EJEMPLO</t>
        </is>
      </c>
    </row>
    <row r="87">
      <c r="A87" s="26" t="inlineStr">
        <is>
          <t>Regalos (cumpleaños, Navidad)</t>
        </is>
      </c>
      <c r="B87" s="79" t="n"/>
      <c r="C87" s="79" t="n">
        <v>500</v>
      </c>
      <c r="D87" s="79">
        <f>IF(B87&gt;0,B87*12,C87)</f>
        <v>500</v>
      </c>
      <c r="E87" s="84">
        <f>IFERROR(D87/$D$96,0)</f>
        <v>0.012880622391674</v>
      </c>
      <c r="G87" s="28" t="inlineStr">
        <is>
          <t>EJEMPLO</t>
        </is>
      </c>
    </row>
    <row r="88">
      <c r="A88" s="26" t="n"/>
      <c r="B88" s="79" t="n"/>
      <c r="C88" s="79" t="n"/>
      <c r="D88" s="79">
        <f>IF(B88&gt;0,B88*12,C88)</f>
        <v>0</v>
      </c>
      <c r="E88" s="84">
        <f>IFERROR(D88/$D$96,0)</f>
        <v>0</v>
      </c>
    </row>
    <row r="89">
      <c r="A89" s="26" t="n"/>
      <c r="B89" s="79" t="n"/>
      <c r="C89" s="79" t="n"/>
      <c r="D89" s="79">
        <f>IF(B89&gt;0,B89*12,C89)</f>
        <v>0</v>
      </c>
      <c r="E89" s="84">
        <f>IFERROR(D89/$D$96,0)</f>
        <v>0</v>
      </c>
    </row>
    <row r="90">
      <c r="A90" s="33" t="inlineStr">
        <is>
          <t xml:space="preserve">   Otros revisables</t>
        </is>
      </c>
      <c r="B90" s="83">
        <f>SUM(B91:B94)</f>
        <v>40</v>
      </c>
      <c r="C90" s="83">
        <f>SUM(C91:C94)</f>
        <v>900</v>
      </c>
      <c r="D90" s="83">
        <f>SUM(D91:D94)</f>
        <v>1380</v>
      </c>
      <c r="E90" s="35">
        <f>IFERROR(D90/$D$96,0)</f>
        <v>0.0355505178010201</v>
      </c>
    </row>
    <row r="91">
      <c r="A91" s="26" t="inlineStr">
        <is>
          <t>Gastos extra e imprevistos</t>
        </is>
      </c>
      <c r="B91" s="79" t="n"/>
      <c r="C91" s="79" t="n">
        <v>900</v>
      </c>
      <c r="D91" s="79">
        <f>IF(B91&gt;0,B91*12,C91)</f>
        <v>900</v>
      </c>
      <c r="E91" s="84">
        <f>IFERROR(D91/$D$96,0)</f>
        <v>0.0231851203050131</v>
      </c>
      <c r="G91" s="28" t="inlineStr">
        <is>
          <t>EJEMPLO. Partida para lo puntual: un electrodoméstico, una avería. Mejor presupuestarlo que llevarse la sorpresa</t>
        </is>
      </c>
    </row>
    <row r="92">
      <c r="A92" s="26" t="inlineStr">
        <is>
          <t>Compras varias online</t>
        </is>
      </c>
      <c r="B92" s="79" t="n">
        <v>40</v>
      </c>
      <c r="C92" s="79" t="n"/>
      <c r="D92" s="79">
        <f>IF(B92&gt;0,B92*12,C92)</f>
        <v>480</v>
      </c>
      <c r="E92" s="84">
        <f>IFERROR(D92/$D$96,0)</f>
        <v>0.012365397496007</v>
      </c>
      <c r="G92" s="28" t="inlineStr">
        <is>
          <t>EJEMPLO</t>
        </is>
      </c>
    </row>
    <row r="93">
      <c r="A93" s="26" t="n"/>
      <c r="B93" s="79" t="n"/>
      <c r="C93" s="79" t="n"/>
      <c r="D93" s="79">
        <f>IF(B93&gt;0,B93*12,C93)</f>
        <v>0</v>
      </c>
      <c r="E93" s="84">
        <f>IFERROR(D93/$D$96,0)</f>
        <v>0</v>
      </c>
    </row>
    <row r="94">
      <c r="A94" s="26" t="n"/>
      <c r="B94" s="79" t="n"/>
      <c r="C94" s="79" t="n"/>
      <c r="D94" s="79">
        <f>IF(B94&gt;0,B94*12,C94)</f>
        <v>0</v>
      </c>
      <c r="E94" s="84">
        <f>IFERROR(D94/$D$96,0)</f>
        <v>0</v>
      </c>
    </row>
    <row r="96">
      <c r="A96" s="37" t="inlineStr">
        <is>
          <t>TOTAL GASTOS</t>
        </is>
      </c>
      <c r="B96" s="38" t="n"/>
      <c r="C96" s="38" t="n"/>
      <c r="D96" s="85">
        <f>D18+D37+D73</f>
        <v>38818</v>
      </c>
      <c r="E96" s="38" t="n"/>
    </row>
    <row r="98">
      <c r="A98" s="40" t="inlineStr">
        <is>
          <t>AHORRO ANUAL</t>
        </is>
      </c>
      <c r="B98" s="6" t="n"/>
      <c r="C98" s="6" t="n"/>
      <c r="D98" s="86">
        <f>D15-D96</f>
        <v>11162</v>
      </c>
      <c r="E98" s="6" t="n"/>
      <c r="G98" s="14" t="inlineStr">
        <is>
          <t>Ojo: la aportación al plan de pensiones (bloque Ahorro/Inversión) ya está contada como gasto, así que NO está aquí dentro.</t>
        </is>
      </c>
    </row>
    <row r="99">
      <c r="A99" s="40" t="inlineStr">
        <is>
          <t>AHORRO MENSUAL</t>
        </is>
      </c>
      <c r="B99" s="6" t="n"/>
      <c r="C99" s="6" t="n"/>
      <c r="D99" s="86">
        <f>D98/12</f>
        <v>930.166666666667</v>
      </c>
      <c r="E99" s="6" t="n"/>
    </row>
    <row r="100">
      <c r="A100" s="42" t="inlineStr">
        <is>
          <t>Tasa de ahorro</t>
        </is>
      </c>
      <c r="B100" s="6" t="n"/>
      <c r="C100" s="6" t="n"/>
      <c r="D100" s="43">
        <f>IFERROR(D98/D15,0)</f>
        <v>0.223329331732693</v>
      </c>
      <c r="E100" s="6" t="n"/>
    </row>
  </sheetData>
  <conditionalFormatting sqref="E20:E26 E28:E31 E33:E35 E39:E45 E47:E50 E52:E56 E58:E63 E65:E71 E75:E76 E78:E83 E85:E89 E91:E94">
    <cfRule type="colorScale" priority="1">
      <colorScale>
        <cfvo type="num" val="0"/>
        <cfvo type="percentile" val="70"/>
        <cfvo type="max"/>
        <color rgb="0063BE7B"/>
        <color rgb="00FFEB84"/>
        <color rgb="00F8696B"/>
      </colorScale>
    </cfRule>
  </conditionalFormatting>
  <conditionalFormatting sqref="D20:D26 D28:D31 D33:D35 D39:D45 D47:D50 D52:D56 D58:D63 D65:D71 D75:D76 D78:D83 D85:D89 D91:D94">
    <cfRule type="colorScale" priority="2">
      <colorScale>
        <cfvo type="num" val="0"/>
        <cfvo type="percentile" val="70"/>
        <cfvo type="max"/>
        <color rgb="0063BE7B"/>
        <color rgb="00FFEB84"/>
        <color rgb="00F8696B"/>
      </colorScale>
    </cfRule>
  </conditionalFormatting>
  <conditionalFormatting sqref="E19 E27 E32 E38 E46 E51 E57 E64 E74 E77 E84 E90">
    <cfRule type="colorScale" priority="3">
      <colorScale>
        <cfvo type="min"/>
        <cfvo type="percentile" val="50"/>
        <cfvo type="max"/>
        <color rgb="00C6EFCE"/>
        <color rgb="00FFEB84"/>
        <color rgb="00FFC7CE"/>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7"/>
  <sheetViews>
    <sheetView showGridLines="0" tabSelected="0" workbookViewId="0">
      <pane ySplit="4" topLeftCell="A5" activePane="bottomLeft" state="frozen"/>
      <selection pane="bottomLeft"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 width="10" customWidth="1" min="7" max="7"/>
  </cols>
  <sheetData>
    <row r="1">
      <c r="A1" s="1" t="inlineStr">
        <is>
          <t>PRESUPUESTO</t>
        </is>
      </c>
    </row>
    <row r="2">
      <c r="A2" s="4" t="inlineStr">
        <is>
          <t>Izquierda: lo que gastas hoy (viene solo de «Ingresos - Gastos», no se toca). Derecha: lo que QUIERES gastar — edita la columna D. La diferencia te dice cuánto liberas.</t>
        </is>
      </c>
    </row>
    <row r="4" ht="30" customHeight="1">
      <c r="A4" s="44" t="inlineStr">
        <is>
          <t>CONCEPTO</t>
        </is>
      </c>
      <c r="B4" s="44" t="inlineStr">
        <is>
          <t>ACTUAL MENSUAL</t>
        </is>
      </c>
      <c r="C4" s="44" t="inlineStr">
        <is>
          <t>ACTUAL ANUAL</t>
        </is>
      </c>
      <c r="D4" s="44" t="inlineStr">
        <is>
          <t>PRESUPUESTO MENSUAL</t>
        </is>
      </c>
      <c r="E4" s="44" t="inlineStr">
        <is>
          <t>PRESUPUESTO ANUAL</t>
        </is>
      </c>
      <c r="F4" s="44" t="inlineStr">
        <is>
          <t>DIFERENCIA ANUAL</t>
        </is>
      </c>
      <c r="G4" s="44" t="inlineStr">
        <is>
          <t>%</t>
        </is>
      </c>
    </row>
    <row r="5">
      <c r="A5" s="8" t="inlineStr">
        <is>
          <t>INDISPENSABLES</t>
        </is>
      </c>
      <c r="B5" s="78">
        <f>B6+B14+B19</f>
        <v>1163.33333333333</v>
      </c>
      <c r="C5" s="78">
        <f>C6+C14+C19</f>
        <v>13960</v>
      </c>
      <c r="D5" s="78">
        <f>D6+D14+D19</f>
        <v>1163.33333333333</v>
      </c>
      <c r="E5" s="78">
        <f>E6+E14+E19</f>
        <v>13960</v>
      </c>
      <c r="F5" s="78">
        <f>F6+F14+F19</f>
        <v>0</v>
      </c>
      <c r="G5" s="32">
        <f>IFERROR(E5/$E$83,0)</f>
        <v>0.359626977175537</v>
      </c>
    </row>
    <row r="6">
      <c r="A6" s="45" t="inlineStr">
        <is>
          <t xml:space="preserve">   Vivienda habitual</t>
        </is>
      </c>
      <c r="B6" s="87">
        <f>SUM(B7:B13)</f>
        <v>893.333333333333</v>
      </c>
      <c r="C6" s="87">
        <f>SUM(C7:C13)</f>
        <v>10720</v>
      </c>
      <c r="D6" s="87">
        <f>SUM(D7:D13)</f>
        <v>893.333333333333</v>
      </c>
      <c r="E6" s="87">
        <f>SUM(E7:E13)</f>
        <v>10720</v>
      </c>
      <c r="F6" s="87">
        <f>SUM(F7:F13)</f>
        <v>0</v>
      </c>
      <c r="G6" s="47" t="n"/>
    </row>
    <row r="7">
      <c r="A7" s="26" t="str">
        <f>IF('Ingresos - Gastos'!A20="","",'Ingresos - Gastos'!A20)</f>
        <v>Hipoteca / alquiler</v>
      </c>
      <c r="B7" s="79">
        <f>'Ingresos - Gastos'!D20/12</f>
        <v>750</v>
      </c>
      <c r="C7" s="79">
        <f>'Ingresos - Gastos'!D20</f>
        <v>9000</v>
      </c>
      <c r="D7" s="88">
        <f>B7</f>
        <v>750</v>
      </c>
      <c r="E7" s="79">
        <f>D7*12</f>
        <v>9000</v>
      </c>
      <c r="F7" s="79">
        <f>C7-E7</f>
        <v>0</v>
      </c>
      <c r="G7" s="49" t="n"/>
    </row>
    <row r="8">
      <c r="A8" s="26" t="str">
        <f>IF('Ingresos - Gastos'!A21="","",'Ingresos - Gastos'!A21)</f>
        <v>Comunidad</v>
      </c>
      <c r="B8" s="79">
        <f>'Ingresos - Gastos'!D21/12</f>
        <v>70</v>
      </c>
      <c r="C8" s="79">
        <f>'Ingresos - Gastos'!D21</f>
        <v>840</v>
      </c>
      <c r="D8" s="88">
        <f>B8</f>
        <v>70</v>
      </c>
      <c r="E8" s="79">
        <f>D8*12</f>
        <v>840</v>
      </c>
      <c r="F8" s="79">
        <f>C8-E8</f>
        <v>0</v>
      </c>
      <c r="G8" s="49" t="n"/>
    </row>
    <row r="9">
      <c r="A9" s="26" t="str">
        <f>IF('Ingresos - Gastos'!A22="","",'Ingresos - Gastos'!A22)</f>
        <v>Seguro vivienda</v>
      </c>
      <c r="B9" s="79">
        <f>'Ingresos - Gastos'!D22/12</f>
        <v>26.6666666666667</v>
      </c>
      <c r="C9" s="79">
        <f>'Ingresos - Gastos'!D22</f>
        <v>320</v>
      </c>
      <c r="D9" s="88">
        <f>B9</f>
        <v>26.6666666666667</v>
      </c>
      <c r="E9" s="79">
        <f>D9*12</f>
        <v>320</v>
      </c>
      <c r="F9" s="79">
        <f>C9-E9</f>
        <v>0</v>
      </c>
      <c r="G9" s="49" t="n"/>
    </row>
    <row r="10">
      <c r="A10" s="26" t="str">
        <f>IF('Ingresos - Gastos'!A23="","",'Ingresos - Gastos'!A23)</f>
        <v>IBI</v>
      </c>
      <c r="B10" s="79">
        <f>'Ingresos - Gastos'!D23/12</f>
        <v>37.5</v>
      </c>
      <c r="C10" s="79">
        <f>'Ingresos - Gastos'!D23</f>
        <v>450</v>
      </c>
      <c r="D10" s="88">
        <f>B10</f>
        <v>37.5</v>
      </c>
      <c r="E10" s="79">
        <f>D10*12</f>
        <v>450</v>
      </c>
      <c r="F10" s="79">
        <f>C10-E10</f>
        <v>0</v>
      </c>
      <c r="G10" s="49" t="n"/>
    </row>
    <row r="11">
      <c r="A11" s="26" t="str">
        <f>IF('Ingresos - Gastos'!A24="","",'Ingresos - Gastos'!A24)</f>
        <v>Tasa basuras</v>
      </c>
      <c r="B11" s="79">
        <f>'Ingresos - Gastos'!D24/12</f>
        <v>9.16666666666667</v>
      </c>
      <c r="C11" s="79">
        <f>'Ingresos - Gastos'!D24</f>
        <v>110</v>
      </c>
      <c r="D11" s="88">
        <f>B11</f>
        <v>9.16666666666667</v>
      </c>
      <c r="E11" s="79">
        <f>D11*12</f>
        <v>110</v>
      </c>
      <c r="F11" s="79">
        <f>C11-E11</f>
        <v>0</v>
      </c>
      <c r="G11" s="49" t="n"/>
    </row>
    <row r="12">
      <c r="A12" s="26">
        <f>IF('Ingresos - Gastos'!A25="","",'Ingresos - Gastos'!A25)</f>
        <v/>
      </c>
      <c r="B12" s="79">
        <f>'Ingresos - Gastos'!D25/12</f>
        <v>0</v>
      </c>
      <c r="C12" s="79">
        <f>'Ingresos - Gastos'!D25</f>
        <v>0</v>
      </c>
      <c r="D12" s="88">
        <f>B12</f>
        <v>0</v>
      </c>
      <c r="E12" s="79">
        <f>D12*12</f>
        <v>0</v>
      </c>
      <c r="F12" s="79">
        <f>C12-E12</f>
        <v>0</v>
      </c>
      <c r="G12" s="49" t="n"/>
    </row>
    <row r="13">
      <c r="A13" s="26">
        <f>IF('Ingresos - Gastos'!A26="","",'Ingresos - Gastos'!A26)</f>
        <v/>
      </c>
      <c r="B13" s="79">
        <f>'Ingresos - Gastos'!D26/12</f>
        <v>0</v>
      </c>
      <c r="C13" s="79">
        <f>'Ingresos - Gastos'!D26</f>
        <v>0</v>
      </c>
      <c r="D13" s="88">
        <f>B13</f>
        <v>0</v>
      </c>
      <c r="E13" s="79">
        <f>D13*12</f>
        <v>0</v>
      </c>
      <c r="F13" s="79">
        <f>C13-E13</f>
        <v>0</v>
      </c>
      <c r="G13" s="49" t="n"/>
    </row>
    <row r="14">
      <c r="A14" s="45" t="inlineStr">
        <is>
          <t xml:space="preserve">   Seguros</t>
        </is>
      </c>
      <c r="B14" s="87">
        <f>SUM(B15:B18)</f>
        <v>120</v>
      </c>
      <c r="C14" s="87">
        <f>SUM(C15:C18)</f>
        <v>1440</v>
      </c>
      <c r="D14" s="87">
        <f>SUM(D15:D18)</f>
        <v>120</v>
      </c>
      <c r="E14" s="87">
        <f>SUM(E15:E18)</f>
        <v>1440</v>
      </c>
      <c r="F14" s="87">
        <f>SUM(F15:F18)</f>
        <v>0</v>
      </c>
      <c r="G14" s="47" t="n"/>
    </row>
    <row r="15">
      <c r="A15" s="26" t="str">
        <f>IF('Ingresos - Gastos'!A28="","",'Ingresos - Gastos'!A28)</f>
        <v>Seguro de vida</v>
      </c>
      <c r="B15" s="79">
        <f>'Ingresos - Gastos'!D28/12</f>
        <v>30</v>
      </c>
      <c r="C15" s="79">
        <f>'Ingresos - Gastos'!D28</f>
        <v>360</v>
      </c>
      <c r="D15" s="88">
        <f>B15</f>
        <v>30</v>
      </c>
      <c r="E15" s="79">
        <f>D15*12</f>
        <v>360</v>
      </c>
      <c r="F15" s="79">
        <f>C15-E15</f>
        <v>0</v>
      </c>
      <c r="G15" s="49" t="n"/>
    </row>
    <row r="16">
      <c r="A16" s="26" t="str">
        <f>IF('Ingresos - Gastos'!A29="","",'Ingresos - Gastos'!A29)</f>
        <v>Seguro de salud</v>
      </c>
      <c r="B16" s="79">
        <f>'Ingresos - Gastos'!D29/12</f>
        <v>90</v>
      </c>
      <c r="C16" s="79">
        <f>'Ingresos - Gastos'!D29</f>
        <v>1080</v>
      </c>
      <c r="D16" s="88">
        <f>B16</f>
        <v>90</v>
      </c>
      <c r="E16" s="79">
        <f>D16*12</f>
        <v>1080</v>
      </c>
      <c r="F16" s="79">
        <f>C16-E16</f>
        <v>0</v>
      </c>
      <c r="G16" s="49" t="n"/>
    </row>
    <row r="17">
      <c r="A17" s="26">
        <f>IF('Ingresos - Gastos'!A30="","",'Ingresos - Gastos'!A30)</f>
        <v/>
      </c>
      <c r="B17" s="79">
        <f>'Ingresos - Gastos'!D30/12</f>
        <v>0</v>
      </c>
      <c r="C17" s="79">
        <f>'Ingresos - Gastos'!D30</f>
        <v>0</v>
      </c>
      <c r="D17" s="88">
        <f>B17</f>
        <v>0</v>
      </c>
      <c r="E17" s="79">
        <f>D17*12</f>
        <v>0</v>
      </c>
      <c r="F17" s="79">
        <f>C17-E17</f>
        <v>0</v>
      </c>
      <c r="G17" s="49" t="n"/>
    </row>
    <row r="18">
      <c r="A18" s="26">
        <f>IF('Ingresos - Gastos'!A31="","",'Ingresos - Gastos'!A31)</f>
        <v/>
      </c>
      <c r="B18" s="79">
        <f>'Ingresos - Gastos'!D31/12</f>
        <v>0</v>
      </c>
      <c r="C18" s="79">
        <f>'Ingresos - Gastos'!D31</f>
        <v>0</v>
      </c>
      <c r="D18" s="88">
        <f>B18</f>
        <v>0</v>
      </c>
      <c r="E18" s="79">
        <f>D18*12</f>
        <v>0</v>
      </c>
      <c r="F18" s="79">
        <f>C18-E18</f>
        <v>0</v>
      </c>
      <c r="G18" s="49" t="n"/>
    </row>
    <row r="19">
      <c r="A19" s="45" t="inlineStr">
        <is>
          <t xml:space="preserve">   Ahorro / Inversión</t>
        </is>
      </c>
      <c r="B19" s="87">
        <f>SUM(B20:B22)</f>
        <v>150</v>
      </c>
      <c r="C19" s="87">
        <f>SUM(C20:C22)</f>
        <v>1800</v>
      </c>
      <c r="D19" s="87">
        <f>SUM(D20:D22)</f>
        <v>150</v>
      </c>
      <c r="E19" s="87">
        <f>SUM(E20:E22)</f>
        <v>1800</v>
      </c>
      <c r="F19" s="87">
        <f>SUM(F20:F22)</f>
        <v>0</v>
      </c>
      <c r="G19" s="47" t="n"/>
    </row>
    <row r="20">
      <c r="A20" s="26" t="str">
        <f>IF('Ingresos - Gastos'!A33="","",'Ingresos - Gastos'!A33)</f>
        <v>Jubilación (plan de pensiones)</v>
      </c>
      <c r="B20" s="79">
        <f>'Ingresos - Gastos'!D33/12</f>
        <v>150</v>
      </c>
      <c r="C20" s="79">
        <f>'Ingresos - Gastos'!D33</f>
        <v>1800</v>
      </c>
      <c r="D20" s="88">
        <f>B20</f>
        <v>150</v>
      </c>
      <c r="E20" s="79">
        <f>D20*12</f>
        <v>1800</v>
      </c>
      <c r="F20" s="79">
        <f>C20-E20</f>
        <v>0</v>
      </c>
      <c r="G20" s="49" t="n"/>
    </row>
    <row r="21">
      <c r="A21" s="26">
        <f>IF('Ingresos - Gastos'!A34="","",'Ingresos - Gastos'!A34)</f>
        <v/>
      </c>
      <c r="B21" s="79">
        <f>'Ingresos - Gastos'!D34/12</f>
        <v>0</v>
      </c>
      <c r="C21" s="79">
        <f>'Ingresos - Gastos'!D34</f>
        <v>0</v>
      </c>
      <c r="D21" s="88">
        <f>B21</f>
        <v>0</v>
      </c>
      <c r="E21" s="79">
        <f>D21*12</f>
        <v>0</v>
      </c>
      <c r="F21" s="79">
        <f>C21-E21</f>
        <v>0</v>
      </c>
      <c r="G21" s="49" t="n"/>
    </row>
    <row r="22">
      <c r="A22" s="26">
        <f>IF('Ingresos - Gastos'!A35="","",'Ingresos - Gastos'!A35)</f>
        <v/>
      </c>
      <c r="B22" s="79">
        <f>'Ingresos - Gastos'!D35/12</f>
        <v>0</v>
      </c>
      <c r="C22" s="79">
        <f>'Ingresos - Gastos'!D35</f>
        <v>0</v>
      </c>
      <c r="D22" s="88">
        <f>B22</f>
        <v>0</v>
      </c>
      <c r="E22" s="79">
        <f>D22*12</f>
        <v>0</v>
      </c>
      <c r="F22" s="79">
        <f>C22-E22</f>
        <v>0</v>
      </c>
      <c r="G22" s="49" t="n"/>
    </row>
    <row r="24">
      <c r="A24" s="8" t="inlineStr">
        <is>
          <t>NECESARIOS</t>
        </is>
      </c>
      <c r="B24" s="78">
        <f>B25+B33+B38+B44+B51</f>
        <v>1549.16666666667</v>
      </c>
      <c r="C24" s="78">
        <f>C25+C33+C38+C44+C51</f>
        <v>18590</v>
      </c>
      <c r="D24" s="78">
        <f>D25+D33+D38+D44+D51</f>
        <v>1549.16666666667</v>
      </c>
      <c r="E24" s="78">
        <f>E25+E33+E38+E44+E51</f>
        <v>18590</v>
      </c>
      <c r="F24" s="78">
        <f>F25+F33+F38+F44+F51</f>
        <v>0</v>
      </c>
      <c r="G24" s="32">
        <f>IFERROR(E24/$E$83,0)</f>
        <v>0.478901540522438</v>
      </c>
    </row>
    <row r="25">
      <c r="A25" s="45" t="inlineStr">
        <is>
          <t xml:space="preserve">   Recibos y servicios del hogar</t>
        </is>
      </c>
      <c r="B25" s="87">
        <f>SUM(B26:B32)</f>
        <v>175.833333333333</v>
      </c>
      <c r="C25" s="87">
        <f>SUM(C26:C32)</f>
        <v>2110</v>
      </c>
      <c r="D25" s="87">
        <f>SUM(D26:D32)</f>
        <v>175.833333333333</v>
      </c>
      <c r="E25" s="87">
        <f>SUM(E26:E32)</f>
        <v>2110</v>
      </c>
      <c r="F25" s="87">
        <f>SUM(F26:F32)</f>
        <v>0</v>
      </c>
      <c r="G25" s="47" t="n"/>
    </row>
    <row r="26">
      <c r="A26" s="26" t="str">
        <f>IF('Ingresos - Gastos'!A39="","",'Ingresos - Gastos'!A39)</f>
        <v>Agua</v>
      </c>
      <c r="B26" s="79">
        <f>'Ingresos - Gastos'!D39/12</f>
        <v>20</v>
      </c>
      <c r="C26" s="79">
        <f>'Ingresos - Gastos'!D39</f>
        <v>240</v>
      </c>
      <c r="D26" s="88">
        <f>B26</f>
        <v>20</v>
      </c>
      <c r="E26" s="79">
        <f>D26*12</f>
        <v>240</v>
      </c>
      <c r="F26" s="79">
        <f>C26-E26</f>
        <v>0</v>
      </c>
      <c r="G26" s="49" t="n"/>
    </row>
    <row r="27">
      <c r="A27" s="26" t="str">
        <f>IF('Ingresos - Gastos'!A40="","",'Ingresos - Gastos'!A40)</f>
        <v>Luz</v>
      </c>
      <c r="B27" s="79">
        <f>'Ingresos - Gastos'!D40/12</f>
        <v>55</v>
      </c>
      <c r="C27" s="79">
        <f>'Ingresos - Gastos'!D40</f>
        <v>660</v>
      </c>
      <c r="D27" s="88">
        <f>B27</f>
        <v>55</v>
      </c>
      <c r="E27" s="79">
        <f>D27*12</f>
        <v>660</v>
      </c>
      <c r="F27" s="79">
        <f>C27-E27</f>
        <v>0</v>
      </c>
      <c r="G27" s="49" t="n"/>
    </row>
    <row r="28">
      <c r="A28" s="26" t="str">
        <f>IF('Ingresos - Gastos'!A41="","",'Ingresos - Gastos'!A41)</f>
        <v>Gas / calefacción</v>
      </c>
      <c r="B28" s="79">
        <f>'Ingresos - Gastos'!D41/12</f>
        <v>35</v>
      </c>
      <c r="C28" s="79">
        <f>'Ingresos - Gastos'!D41</f>
        <v>420</v>
      </c>
      <c r="D28" s="88">
        <f>B28</f>
        <v>35</v>
      </c>
      <c r="E28" s="79">
        <f>D28*12</f>
        <v>420</v>
      </c>
      <c r="F28" s="79">
        <f>C28-E28</f>
        <v>0</v>
      </c>
      <c r="G28" s="49" t="n"/>
    </row>
    <row r="29">
      <c r="A29" s="26" t="str">
        <f>IF('Ingresos - Gastos'!A42="","",'Ingresos - Gastos'!A42)</f>
        <v>Teléfono / Internet</v>
      </c>
      <c r="B29" s="79">
        <f>'Ingresos - Gastos'!D42/12</f>
        <v>45</v>
      </c>
      <c r="C29" s="79">
        <f>'Ingresos - Gastos'!D42</f>
        <v>540</v>
      </c>
      <c r="D29" s="88">
        <f>B29</f>
        <v>45</v>
      </c>
      <c r="E29" s="79">
        <f>D29*12</f>
        <v>540</v>
      </c>
      <c r="F29" s="79">
        <f>C29-E29</f>
        <v>0</v>
      </c>
      <c r="G29" s="49" t="n"/>
    </row>
    <row r="30">
      <c r="A30" s="26" t="str">
        <f>IF('Ingresos - Gastos'!A43="","",'Ingresos - Gastos'!A43)</f>
        <v>Mantenimiento del hogar</v>
      </c>
      <c r="B30" s="79">
        <f>'Ingresos - Gastos'!D43/12</f>
        <v>20.8333333333333</v>
      </c>
      <c r="C30" s="79">
        <f>'Ingresos - Gastos'!D43</f>
        <v>250</v>
      </c>
      <c r="D30" s="88">
        <f>B30</f>
        <v>20.8333333333333</v>
      </c>
      <c r="E30" s="79">
        <f>D30*12</f>
        <v>250</v>
      </c>
      <c r="F30" s="79">
        <f>C30-E30</f>
        <v>0</v>
      </c>
      <c r="G30" s="49" t="n"/>
    </row>
    <row r="31">
      <c r="A31" s="26">
        <f>IF('Ingresos - Gastos'!A44="","",'Ingresos - Gastos'!A44)</f>
        <v/>
      </c>
      <c r="B31" s="79">
        <f>'Ingresos - Gastos'!D44/12</f>
        <v>0</v>
      </c>
      <c r="C31" s="79">
        <f>'Ingresos - Gastos'!D44</f>
        <v>0</v>
      </c>
      <c r="D31" s="88">
        <f>B31</f>
        <v>0</v>
      </c>
      <c r="E31" s="79">
        <f>D31*12</f>
        <v>0</v>
      </c>
      <c r="F31" s="79">
        <f>C31-E31</f>
        <v>0</v>
      </c>
      <c r="G31" s="49" t="n"/>
    </row>
    <row r="32">
      <c r="A32" s="26">
        <f>IF('Ingresos - Gastos'!A45="","",'Ingresos - Gastos'!A45)</f>
        <v/>
      </c>
      <c r="B32" s="79">
        <f>'Ingresos - Gastos'!D45/12</f>
        <v>0</v>
      </c>
      <c r="C32" s="79">
        <f>'Ingresos - Gastos'!D45</f>
        <v>0</v>
      </c>
      <c r="D32" s="88">
        <f>B32</f>
        <v>0</v>
      </c>
      <c r="E32" s="79">
        <f>D32*12</f>
        <v>0</v>
      </c>
      <c r="F32" s="79">
        <f>C32-E32</f>
        <v>0</v>
      </c>
      <c r="G32" s="49" t="n"/>
    </row>
    <row r="33">
      <c r="A33" s="45" t="inlineStr">
        <is>
          <t xml:space="preserve">   Alimentación</t>
        </is>
      </c>
      <c r="B33" s="87">
        <f>SUM(B34:B37)</f>
        <v>580</v>
      </c>
      <c r="C33" s="87">
        <f>SUM(C34:C37)</f>
        <v>6960</v>
      </c>
      <c r="D33" s="87">
        <f>SUM(D34:D37)</f>
        <v>580</v>
      </c>
      <c r="E33" s="87">
        <f>SUM(E34:E37)</f>
        <v>6960</v>
      </c>
      <c r="F33" s="87">
        <f>SUM(F34:F37)</f>
        <v>0</v>
      </c>
      <c r="G33" s="47" t="n"/>
    </row>
    <row r="34">
      <c r="A34" s="26" t="str">
        <f>IF('Ingresos - Gastos'!A47="","",'Ingresos - Gastos'!A47)</f>
        <v>Supermercado</v>
      </c>
      <c r="B34" s="79">
        <f>'Ingresos - Gastos'!D47/12</f>
        <v>520</v>
      </c>
      <c r="C34" s="79">
        <f>'Ingresos - Gastos'!D47</f>
        <v>6240</v>
      </c>
      <c r="D34" s="88">
        <f>B34</f>
        <v>520</v>
      </c>
      <c r="E34" s="79">
        <f>D34*12</f>
        <v>6240</v>
      </c>
      <c r="F34" s="79">
        <f>C34-E34</f>
        <v>0</v>
      </c>
      <c r="G34" s="49" t="n"/>
    </row>
    <row r="35">
      <c r="A35" s="26" t="str">
        <f>IF('Ingresos - Gastos'!A48="","",'Ingresos - Gastos'!A48)</f>
        <v>Fruterías / mercado</v>
      </c>
      <c r="B35" s="79">
        <f>'Ingresos - Gastos'!D48/12</f>
        <v>60</v>
      </c>
      <c r="C35" s="79">
        <f>'Ingresos - Gastos'!D48</f>
        <v>720</v>
      </c>
      <c r="D35" s="88">
        <f>B35</f>
        <v>60</v>
      </c>
      <c r="E35" s="79">
        <f>D35*12</f>
        <v>720</v>
      </c>
      <c r="F35" s="79">
        <f>C35-E35</f>
        <v>0</v>
      </c>
      <c r="G35" s="49" t="n"/>
    </row>
    <row r="36">
      <c r="A36" s="26">
        <f>IF('Ingresos - Gastos'!A49="","",'Ingresos - Gastos'!A49)</f>
        <v/>
      </c>
      <c r="B36" s="79">
        <f>'Ingresos - Gastos'!D49/12</f>
        <v>0</v>
      </c>
      <c r="C36" s="79">
        <f>'Ingresos - Gastos'!D49</f>
        <v>0</v>
      </c>
      <c r="D36" s="88">
        <f>B36</f>
        <v>0</v>
      </c>
      <c r="E36" s="79">
        <f>D36*12</f>
        <v>0</v>
      </c>
      <c r="F36" s="79">
        <f>C36-E36</f>
        <v>0</v>
      </c>
      <c r="G36" s="49" t="n"/>
    </row>
    <row r="37">
      <c r="A37" s="26">
        <f>IF('Ingresos - Gastos'!A50="","",'Ingresos - Gastos'!A50)</f>
        <v/>
      </c>
      <c r="B37" s="79">
        <f>'Ingresos - Gastos'!D50/12</f>
        <v>0</v>
      </c>
      <c r="C37" s="79">
        <f>'Ingresos - Gastos'!D50</f>
        <v>0</v>
      </c>
      <c r="D37" s="88">
        <f>B37</f>
        <v>0</v>
      </c>
      <c r="E37" s="79">
        <f>D37*12</f>
        <v>0</v>
      </c>
      <c r="F37" s="79">
        <f>C37-E37</f>
        <v>0</v>
      </c>
      <c r="G37" s="49" t="n"/>
    </row>
    <row r="38">
      <c r="A38" s="45" t="inlineStr">
        <is>
          <t xml:space="preserve">   Cuidado personal / familiar</t>
        </is>
      </c>
      <c r="B38" s="87">
        <f>SUM(B39:B43)</f>
        <v>137.5</v>
      </c>
      <c r="C38" s="87">
        <f>SUM(C39:C43)</f>
        <v>1650</v>
      </c>
      <c r="D38" s="87">
        <f>SUM(D39:D43)</f>
        <v>137.5</v>
      </c>
      <c r="E38" s="87">
        <f>SUM(E39:E43)</f>
        <v>1650</v>
      </c>
      <c r="F38" s="87">
        <f>SUM(F39:F43)</f>
        <v>0</v>
      </c>
      <c r="G38" s="47" t="n"/>
    </row>
    <row r="39">
      <c r="A39" s="26" t="str">
        <f>IF('Ingresos - Gastos'!A52="","",'Ingresos - Gastos'!A52)</f>
        <v>Ropa y calzado</v>
      </c>
      <c r="B39" s="79">
        <f>'Ingresos - Gastos'!D52/12</f>
        <v>91.6666666666667</v>
      </c>
      <c r="C39" s="79">
        <f>'Ingresos - Gastos'!D52</f>
        <v>1100</v>
      </c>
      <c r="D39" s="88">
        <f>B39</f>
        <v>91.6666666666667</v>
      </c>
      <c r="E39" s="79">
        <f>D39*12</f>
        <v>1100</v>
      </c>
      <c r="F39" s="79">
        <f>C39-E39</f>
        <v>0</v>
      </c>
      <c r="G39" s="49" t="n"/>
    </row>
    <row r="40">
      <c r="A40" s="26" t="str">
        <f>IF('Ingresos - Gastos'!A53="","",'Ingresos - Gastos'!A53)</f>
        <v>Farmacia / médicos</v>
      </c>
      <c r="B40" s="79">
        <f>'Ingresos - Gastos'!D53/12</f>
        <v>20.8333333333333</v>
      </c>
      <c r="C40" s="79">
        <f>'Ingresos - Gastos'!D53</f>
        <v>250</v>
      </c>
      <c r="D40" s="88">
        <f>B40</f>
        <v>20.8333333333333</v>
      </c>
      <c r="E40" s="79">
        <f>D40*12</f>
        <v>250</v>
      </c>
      <c r="F40" s="79">
        <f>C40-E40</f>
        <v>0</v>
      </c>
      <c r="G40" s="49" t="n"/>
    </row>
    <row r="41">
      <c r="A41" s="26" t="str">
        <f>IF('Ingresos - Gastos'!A54="","",'Ingresos - Gastos'!A54)</f>
        <v>Peluquería y cosmética</v>
      </c>
      <c r="B41" s="79">
        <f>'Ingresos - Gastos'!D54/12</f>
        <v>25</v>
      </c>
      <c r="C41" s="79">
        <f>'Ingresos - Gastos'!D54</f>
        <v>300</v>
      </c>
      <c r="D41" s="88">
        <f>B41</f>
        <v>25</v>
      </c>
      <c r="E41" s="79">
        <f>D41*12</f>
        <v>300</v>
      </c>
      <c r="F41" s="79">
        <f>C41-E41</f>
        <v>0</v>
      </c>
      <c r="G41" s="49" t="n"/>
    </row>
    <row r="42">
      <c r="A42" s="26">
        <f>IF('Ingresos - Gastos'!A55="","",'Ingresos - Gastos'!A55)</f>
        <v/>
      </c>
      <c r="B42" s="79">
        <f>'Ingresos - Gastos'!D55/12</f>
        <v>0</v>
      </c>
      <c r="C42" s="79">
        <f>'Ingresos - Gastos'!D55</f>
        <v>0</v>
      </c>
      <c r="D42" s="88">
        <f>B42</f>
        <v>0</v>
      </c>
      <c r="E42" s="79">
        <f>D42*12</f>
        <v>0</v>
      </c>
      <c r="F42" s="79">
        <f>C42-E42</f>
        <v>0</v>
      </c>
      <c r="G42" s="49" t="n"/>
    </row>
    <row r="43">
      <c r="A43" s="26">
        <f>IF('Ingresos - Gastos'!A56="","",'Ingresos - Gastos'!A56)</f>
        <v/>
      </c>
      <c r="B43" s="79">
        <f>'Ingresos - Gastos'!D56/12</f>
        <v>0</v>
      </c>
      <c r="C43" s="79">
        <f>'Ingresos - Gastos'!D56</f>
        <v>0</v>
      </c>
      <c r="D43" s="88">
        <f>B43</f>
        <v>0</v>
      </c>
      <c r="E43" s="79">
        <f>D43*12</f>
        <v>0</v>
      </c>
      <c r="F43" s="79">
        <f>C43-E43</f>
        <v>0</v>
      </c>
      <c r="G43" s="49" t="n"/>
    </row>
    <row r="44">
      <c r="A44" s="45" t="inlineStr">
        <is>
          <t xml:space="preserve">   Educación / cuidado de los hijos</t>
        </is>
      </c>
      <c r="B44" s="87">
        <f>SUM(B45:B50)</f>
        <v>449.166666666667</v>
      </c>
      <c r="C44" s="87">
        <f>SUM(C45:C50)</f>
        <v>5390</v>
      </c>
      <c r="D44" s="87">
        <f>SUM(D45:D50)</f>
        <v>449.166666666667</v>
      </c>
      <c r="E44" s="87">
        <f>SUM(E45:E50)</f>
        <v>5390</v>
      </c>
      <c r="F44" s="87">
        <f>SUM(F45:F50)</f>
        <v>0</v>
      </c>
      <c r="G44" s="47" t="n"/>
    </row>
    <row r="45">
      <c r="A45" s="26" t="str">
        <f>IF('Ingresos - Gastos'!A58="","",'Ingresos - Gastos'!A58)</f>
        <v>Guardería / colegio</v>
      </c>
      <c r="B45" s="79">
        <f>'Ingresos - Gastos'!D58/12</f>
        <v>280</v>
      </c>
      <c r="C45" s="79">
        <f>'Ingresos - Gastos'!D58</f>
        <v>3360</v>
      </c>
      <c r="D45" s="88">
        <f>B45</f>
        <v>280</v>
      </c>
      <c r="E45" s="79">
        <f>D45*12</f>
        <v>3360</v>
      </c>
      <c r="F45" s="79">
        <f>C45-E45</f>
        <v>0</v>
      </c>
      <c r="G45" s="49" t="n"/>
    </row>
    <row r="46">
      <c r="A46" s="26" t="str">
        <f>IF('Ingresos - Gastos'!A59="","",'Ingresos - Gastos'!A59)</f>
        <v>Comedor escolar</v>
      </c>
      <c r="B46" s="79">
        <f>'Ingresos - Gastos'!D59/12</f>
        <v>108.333333333333</v>
      </c>
      <c r="C46" s="79">
        <f>'Ingresos - Gastos'!D59</f>
        <v>1300</v>
      </c>
      <c r="D46" s="88">
        <f>B46</f>
        <v>108.333333333333</v>
      </c>
      <c r="E46" s="79">
        <f>D46*12</f>
        <v>1300</v>
      </c>
      <c r="F46" s="79">
        <f>C46-E46</f>
        <v>0</v>
      </c>
      <c r="G46" s="49" t="n"/>
    </row>
    <row r="47">
      <c r="A47" s="26" t="str">
        <f>IF('Ingresos - Gastos'!A60="","",'Ingresos - Gastos'!A60)</f>
        <v>Libros, material y uniforme</v>
      </c>
      <c r="B47" s="79">
        <f>'Ingresos - Gastos'!D60/12</f>
        <v>20.8333333333333</v>
      </c>
      <c r="C47" s="79">
        <f>'Ingresos - Gastos'!D60</f>
        <v>250</v>
      </c>
      <c r="D47" s="88">
        <f>B47</f>
        <v>20.8333333333333</v>
      </c>
      <c r="E47" s="79">
        <f>D47*12</f>
        <v>250</v>
      </c>
      <c r="F47" s="79">
        <f>C47-E47</f>
        <v>0</v>
      </c>
      <c r="G47" s="49" t="n"/>
    </row>
    <row r="48">
      <c r="A48" s="26" t="str">
        <f>IF('Ingresos - Gastos'!A61="","",'Ingresos - Gastos'!A61)</f>
        <v>Actividades extraescolares</v>
      </c>
      <c r="B48" s="79">
        <f>'Ingresos - Gastos'!D61/12</f>
        <v>40</v>
      </c>
      <c r="C48" s="79">
        <f>'Ingresos - Gastos'!D61</f>
        <v>480</v>
      </c>
      <c r="D48" s="88">
        <f>B48</f>
        <v>40</v>
      </c>
      <c r="E48" s="79">
        <f>D48*12</f>
        <v>480</v>
      </c>
      <c r="F48" s="79">
        <f>C48-E48</f>
        <v>0</v>
      </c>
      <c r="G48" s="49" t="n"/>
    </row>
    <row r="49">
      <c r="A49" s="26">
        <f>IF('Ingresos - Gastos'!A62="","",'Ingresos - Gastos'!A62)</f>
        <v/>
      </c>
      <c r="B49" s="79">
        <f>'Ingresos - Gastos'!D62/12</f>
        <v>0</v>
      </c>
      <c r="C49" s="79">
        <f>'Ingresos - Gastos'!D62</f>
        <v>0</v>
      </c>
      <c r="D49" s="88">
        <f>B49</f>
        <v>0</v>
      </c>
      <c r="E49" s="79">
        <f>D49*12</f>
        <v>0</v>
      </c>
      <c r="F49" s="79">
        <f>C49-E49</f>
        <v>0</v>
      </c>
      <c r="G49" s="49" t="n"/>
    </row>
    <row r="50">
      <c r="A50" s="26">
        <f>IF('Ingresos - Gastos'!A63="","",'Ingresos - Gastos'!A63)</f>
        <v/>
      </c>
      <c r="B50" s="79">
        <f>'Ingresos - Gastos'!D63/12</f>
        <v>0</v>
      </c>
      <c r="C50" s="79">
        <f>'Ingresos - Gastos'!D63</f>
        <v>0</v>
      </c>
      <c r="D50" s="88">
        <f>B50</f>
        <v>0</v>
      </c>
      <c r="E50" s="79">
        <f>D50*12</f>
        <v>0</v>
      </c>
      <c r="F50" s="79">
        <f>C50-E50</f>
        <v>0</v>
      </c>
      <c r="G50" s="49" t="n"/>
    </row>
    <row r="51">
      <c r="A51" s="45" t="inlineStr">
        <is>
          <t xml:space="preserve">   Transporte</t>
        </is>
      </c>
      <c r="B51" s="87">
        <f>SUM(B52:B58)</f>
        <v>206.666666666667</v>
      </c>
      <c r="C51" s="87">
        <f>SUM(C52:C58)</f>
        <v>2480</v>
      </c>
      <c r="D51" s="87">
        <f>SUM(D52:D58)</f>
        <v>206.666666666667</v>
      </c>
      <c r="E51" s="87">
        <f>SUM(E52:E58)</f>
        <v>2480</v>
      </c>
      <c r="F51" s="87">
        <f>SUM(F52:F58)</f>
        <v>0</v>
      </c>
      <c r="G51" s="47" t="n"/>
    </row>
    <row r="52">
      <c r="A52" s="26" t="str">
        <f>IF('Ingresos - Gastos'!A65="","",'Ingresos - Gastos'!A65)</f>
        <v>Gasolina</v>
      </c>
      <c r="B52" s="79">
        <f>'Ingresos - Gastos'!D65/12</f>
        <v>110</v>
      </c>
      <c r="C52" s="79">
        <f>'Ingresos - Gastos'!D65</f>
        <v>1320</v>
      </c>
      <c r="D52" s="88">
        <f>B52</f>
        <v>110</v>
      </c>
      <c r="E52" s="79">
        <f>D52*12</f>
        <v>1320</v>
      </c>
      <c r="F52" s="79">
        <f>C52-E52</f>
        <v>0</v>
      </c>
      <c r="G52" s="49" t="n"/>
    </row>
    <row r="53">
      <c r="A53" s="26" t="str">
        <f>IF('Ingresos - Gastos'!A66="","",'Ingresos - Gastos'!A66)</f>
        <v>Seguro del coche</v>
      </c>
      <c r="B53" s="79">
        <f>'Ingresos - Gastos'!D66/12</f>
        <v>37.5</v>
      </c>
      <c r="C53" s="79">
        <f>'Ingresos - Gastos'!D66</f>
        <v>450</v>
      </c>
      <c r="D53" s="88">
        <f>B53</f>
        <v>37.5</v>
      </c>
      <c r="E53" s="79">
        <f>D53*12</f>
        <v>450</v>
      </c>
      <c r="F53" s="79">
        <f>C53-E53</f>
        <v>0</v>
      </c>
      <c r="G53" s="49" t="n"/>
    </row>
    <row r="54">
      <c r="A54" s="26" t="str">
        <f>IF('Ingresos - Gastos'!A67="","",'Ingresos - Gastos'!A67)</f>
        <v>Mantenimiento coche (ITV, taller, ruedas)</v>
      </c>
      <c r="B54" s="79">
        <f>'Ingresos - Gastos'!D67/12</f>
        <v>33.3333333333333</v>
      </c>
      <c r="C54" s="79">
        <f>'Ingresos - Gastos'!D67</f>
        <v>400</v>
      </c>
      <c r="D54" s="88">
        <f>B54</f>
        <v>33.3333333333333</v>
      </c>
      <c r="E54" s="79">
        <f>D54*12</f>
        <v>400</v>
      </c>
      <c r="F54" s="79">
        <f>C54-E54</f>
        <v>0</v>
      </c>
      <c r="G54" s="49" t="n"/>
    </row>
    <row r="55">
      <c r="A55" s="26" t="str">
        <f>IF('Ingresos - Gastos'!A68="","",'Ingresos - Gastos'!A68)</f>
        <v>Impuesto de circulación</v>
      </c>
      <c r="B55" s="79">
        <f>'Ingresos - Gastos'!D68/12</f>
        <v>5.83333333333333</v>
      </c>
      <c r="C55" s="79">
        <f>'Ingresos - Gastos'!D68</f>
        <v>70</v>
      </c>
      <c r="D55" s="88">
        <f>B55</f>
        <v>5.83333333333333</v>
      </c>
      <c r="E55" s="79">
        <f>D55*12</f>
        <v>70</v>
      </c>
      <c r="F55" s="79">
        <f>C55-E55</f>
        <v>0</v>
      </c>
      <c r="G55" s="49" t="n"/>
    </row>
    <row r="56">
      <c r="A56" s="26" t="str">
        <f>IF('Ingresos - Gastos'!A69="","",'Ingresos - Gastos'!A69)</f>
        <v>Transporte público / parking</v>
      </c>
      <c r="B56" s="79">
        <f>'Ingresos - Gastos'!D69/12</f>
        <v>20</v>
      </c>
      <c r="C56" s="79">
        <f>'Ingresos - Gastos'!D69</f>
        <v>240</v>
      </c>
      <c r="D56" s="88">
        <f>B56</f>
        <v>20</v>
      </c>
      <c r="E56" s="79">
        <f>D56*12</f>
        <v>240</v>
      </c>
      <c r="F56" s="79">
        <f>C56-E56</f>
        <v>0</v>
      </c>
      <c r="G56" s="49" t="n"/>
    </row>
    <row r="57">
      <c r="A57" s="26">
        <f>IF('Ingresos - Gastos'!A70="","",'Ingresos - Gastos'!A70)</f>
        <v/>
      </c>
      <c r="B57" s="79">
        <f>'Ingresos - Gastos'!D70/12</f>
        <v>0</v>
      </c>
      <c r="C57" s="79">
        <f>'Ingresos - Gastos'!D70</f>
        <v>0</v>
      </c>
      <c r="D57" s="88">
        <f>B57</f>
        <v>0</v>
      </c>
      <c r="E57" s="79">
        <f>D57*12</f>
        <v>0</v>
      </c>
      <c r="F57" s="79">
        <f>C57-E57</f>
        <v>0</v>
      </c>
      <c r="G57" s="49" t="n"/>
    </row>
    <row r="58">
      <c r="A58" s="26">
        <f>IF('Ingresos - Gastos'!A71="","",'Ingresos - Gastos'!A71)</f>
        <v/>
      </c>
      <c r="B58" s="79">
        <f>'Ingresos - Gastos'!D71/12</f>
        <v>0</v>
      </c>
      <c r="C58" s="79">
        <f>'Ingresos - Gastos'!D71</f>
        <v>0</v>
      </c>
      <c r="D58" s="88">
        <f>B58</f>
        <v>0</v>
      </c>
      <c r="E58" s="79">
        <f>D58*12</f>
        <v>0</v>
      </c>
      <c r="F58" s="79">
        <f>C58-E58</f>
        <v>0</v>
      </c>
      <c r="G58" s="49" t="n"/>
    </row>
    <row r="60">
      <c r="A60" s="8" t="inlineStr">
        <is>
          <t>REVISABLES</t>
        </is>
      </c>
      <c r="B60" s="78">
        <f>B61+B64+B71+B77</f>
        <v>522.333333333333</v>
      </c>
      <c r="C60" s="78">
        <f>C61+C64+C71+C77</f>
        <v>6268</v>
      </c>
      <c r="D60" s="78">
        <f>D61+D64+D71+D77</f>
        <v>522.333333333333</v>
      </c>
      <c r="E60" s="78">
        <f>E61+E64+E71+E77</f>
        <v>6268</v>
      </c>
      <c r="F60" s="78">
        <f>F61+F64+F71+F77</f>
        <v>0</v>
      </c>
      <c r="G60" s="32">
        <f>IFERROR(E60/$E$83,0)</f>
        <v>0.161471482302025</v>
      </c>
    </row>
    <row r="61">
      <c r="A61" s="45" t="inlineStr">
        <is>
          <t xml:space="preserve">   Comer y beber fuera</t>
        </is>
      </c>
      <c r="B61" s="87">
        <f>SUM(B62:B63)</f>
        <v>120</v>
      </c>
      <c r="C61" s="87">
        <f>SUM(C62:C63)</f>
        <v>1440</v>
      </c>
      <c r="D61" s="87">
        <f>SUM(D62:D63)</f>
        <v>120</v>
      </c>
      <c r="E61" s="87">
        <f>SUM(E62:E63)</f>
        <v>1440</v>
      </c>
      <c r="F61" s="87">
        <f>SUM(F62:F63)</f>
        <v>0</v>
      </c>
      <c r="G61" s="47" t="n"/>
    </row>
    <row r="62">
      <c r="A62" s="26" t="str">
        <f>IF('Ingresos - Gastos'!A75="","",'Ingresos - Gastos'!A75)</f>
        <v>Restaurantes / bares / cafés</v>
      </c>
      <c r="B62" s="79">
        <f>'Ingresos - Gastos'!D75/12</f>
        <v>120</v>
      </c>
      <c r="C62" s="79">
        <f>'Ingresos - Gastos'!D75</f>
        <v>1440</v>
      </c>
      <c r="D62" s="88">
        <f>B62</f>
        <v>120</v>
      </c>
      <c r="E62" s="79">
        <f>D62*12</f>
        <v>1440</v>
      </c>
      <c r="F62" s="79">
        <f>C62-E62</f>
        <v>0</v>
      </c>
      <c r="G62" s="49" t="n"/>
    </row>
    <row r="63">
      <c r="A63" s="26">
        <f>IF('Ingresos - Gastos'!A76="","",'Ingresos - Gastos'!A76)</f>
        <v/>
      </c>
      <c r="B63" s="79">
        <f>'Ingresos - Gastos'!D76/12</f>
        <v>0</v>
      </c>
      <c r="C63" s="79">
        <f>'Ingresos - Gastos'!D76</f>
        <v>0</v>
      </c>
      <c r="D63" s="88">
        <f>B63</f>
        <v>0</v>
      </c>
      <c r="E63" s="79">
        <f>D63*12</f>
        <v>0</v>
      </c>
      <c r="F63" s="79">
        <f>C63-E63</f>
        <v>0</v>
      </c>
      <c r="G63" s="49" t="n"/>
    </row>
    <row r="64">
      <c r="A64" s="45" t="inlineStr">
        <is>
          <t xml:space="preserve">   Suscripciones</t>
        </is>
      </c>
      <c r="B64" s="87">
        <f>SUM(B65:B70)</f>
        <v>35.6666666666667</v>
      </c>
      <c r="C64" s="87">
        <f>SUM(C65:C70)</f>
        <v>428</v>
      </c>
      <c r="D64" s="87">
        <f>SUM(D65:D70)</f>
        <v>35.6666666666667</v>
      </c>
      <c r="E64" s="87">
        <f>SUM(E65:E70)</f>
        <v>428</v>
      </c>
      <c r="F64" s="87">
        <f>SUM(F65:F70)</f>
        <v>0</v>
      </c>
      <c r="G64" s="47" t="n"/>
    </row>
    <row r="65">
      <c r="A65" s="26" t="str">
        <f>IF('Ingresos - Gastos'!A78="","",'Ingresos - Gastos'!A78)</f>
        <v>Plataformas de vídeo</v>
      </c>
      <c r="B65" s="79">
        <f>'Ingresos - Gastos'!D78/12</f>
        <v>18</v>
      </c>
      <c r="C65" s="79">
        <f>'Ingresos - Gastos'!D78</f>
        <v>216</v>
      </c>
      <c r="D65" s="88">
        <f>B65</f>
        <v>18</v>
      </c>
      <c r="E65" s="79">
        <f>D65*12</f>
        <v>216</v>
      </c>
      <c r="F65" s="79">
        <f>C65-E65</f>
        <v>0</v>
      </c>
      <c r="G65" s="49" t="n"/>
    </row>
    <row r="66">
      <c r="A66" s="26" t="str">
        <f>IF('Ingresos - Gastos'!A79="","",'Ingresos - Gastos'!A79)</f>
        <v>Música</v>
      </c>
      <c r="B66" s="79">
        <f>'Ingresos - Gastos'!D79/12</f>
        <v>11</v>
      </c>
      <c r="C66" s="79">
        <f>'Ingresos - Gastos'!D79</f>
        <v>132</v>
      </c>
      <c r="D66" s="88">
        <f>B66</f>
        <v>11</v>
      </c>
      <c r="E66" s="79">
        <f>D66*12</f>
        <v>132</v>
      </c>
      <c r="F66" s="79">
        <f>C66-E66</f>
        <v>0</v>
      </c>
      <c r="G66" s="49" t="n"/>
    </row>
    <row r="67">
      <c r="A67" s="26" t="str">
        <f>IF('Ingresos - Gastos'!A80="","",'Ingresos - Gastos'!A80)</f>
        <v>Almacenamiento en la nube / apps</v>
      </c>
      <c r="B67" s="79">
        <f>'Ingresos - Gastos'!D80/12</f>
        <v>2.5</v>
      </c>
      <c r="C67" s="79">
        <f>'Ingresos - Gastos'!D80</f>
        <v>30</v>
      </c>
      <c r="D67" s="88">
        <f>B67</f>
        <v>2.5</v>
      </c>
      <c r="E67" s="79">
        <f>D67*12</f>
        <v>30</v>
      </c>
      <c r="F67" s="79">
        <f>C67-E67</f>
        <v>0</v>
      </c>
      <c r="G67" s="49" t="n"/>
    </row>
    <row r="68">
      <c r="A68" s="26" t="str">
        <f>IF('Ingresos - Gastos'!A81="","",'Ingresos - Gastos'!A81)</f>
        <v>Compras online con cuota anual</v>
      </c>
      <c r="B68" s="79">
        <f>'Ingresos - Gastos'!D81/12</f>
        <v>4.16666666666667</v>
      </c>
      <c r="C68" s="79">
        <f>'Ingresos - Gastos'!D81</f>
        <v>50</v>
      </c>
      <c r="D68" s="88">
        <f>B68</f>
        <v>4.16666666666667</v>
      </c>
      <c r="E68" s="79">
        <f>D68*12</f>
        <v>50</v>
      </c>
      <c r="F68" s="79">
        <f>C68-E68</f>
        <v>0</v>
      </c>
      <c r="G68" s="49" t="n"/>
    </row>
    <row r="69">
      <c r="A69" s="26">
        <f>IF('Ingresos - Gastos'!A82="","",'Ingresos - Gastos'!A82)</f>
        <v/>
      </c>
      <c r="B69" s="79">
        <f>'Ingresos - Gastos'!D82/12</f>
        <v>0</v>
      </c>
      <c r="C69" s="79">
        <f>'Ingresos - Gastos'!D82</f>
        <v>0</v>
      </c>
      <c r="D69" s="88">
        <f>B69</f>
        <v>0</v>
      </c>
      <c r="E69" s="79">
        <f>D69*12</f>
        <v>0</v>
      </c>
      <c r="F69" s="79">
        <f>C69-E69</f>
        <v>0</v>
      </c>
      <c r="G69" s="49" t="n"/>
    </row>
    <row r="70">
      <c r="A70" s="26">
        <f>IF('Ingresos - Gastos'!A83="","",'Ingresos - Gastos'!A83)</f>
        <v/>
      </c>
      <c r="B70" s="79">
        <f>'Ingresos - Gastos'!D83/12</f>
        <v>0</v>
      </c>
      <c r="C70" s="79">
        <f>'Ingresos - Gastos'!D83</f>
        <v>0</v>
      </c>
      <c r="D70" s="88">
        <f>B70</f>
        <v>0</v>
      </c>
      <c r="E70" s="79">
        <f>D70*12</f>
        <v>0</v>
      </c>
      <c r="F70" s="79">
        <f>C70-E70</f>
        <v>0</v>
      </c>
      <c r="G70" s="49" t="n"/>
    </row>
    <row r="71">
      <c r="A71" s="45" t="inlineStr">
        <is>
          <t xml:space="preserve">   Ocio y tiempo libre</t>
        </is>
      </c>
      <c r="B71" s="87">
        <f>SUM(B72:B76)</f>
        <v>251.666666666667</v>
      </c>
      <c r="C71" s="87">
        <f>SUM(C72:C76)</f>
        <v>3020</v>
      </c>
      <c r="D71" s="87">
        <f>SUM(D72:D76)</f>
        <v>251.666666666667</v>
      </c>
      <c r="E71" s="87">
        <f>SUM(E72:E76)</f>
        <v>3020</v>
      </c>
      <c r="F71" s="87">
        <f>SUM(F72:F76)</f>
        <v>0</v>
      </c>
      <c r="G71" s="47" t="n"/>
    </row>
    <row r="72">
      <c r="A72" s="26" t="str">
        <f>IF('Ingresos - Gastos'!A85="","",'Ingresos - Gastos'!A85)</f>
        <v>Ocio (cine, parques, excursiones)</v>
      </c>
      <c r="B72" s="79">
        <f>'Ingresos - Gastos'!D85/12</f>
        <v>60</v>
      </c>
      <c r="C72" s="79">
        <f>'Ingresos - Gastos'!D85</f>
        <v>720</v>
      </c>
      <c r="D72" s="88">
        <f>B72</f>
        <v>60</v>
      </c>
      <c r="E72" s="79">
        <f>D72*12</f>
        <v>720</v>
      </c>
      <c r="F72" s="79">
        <f>C72-E72</f>
        <v>0</v>
      </c>
      <c r="G72" s="49" t="n"/>
    </row>
    <row r="73">
      <c r="A73" s="26" t="str">
        <f>IF('Ingresos - Gastos'!A86="","",'Ingresos - Gastos'!A86)</f>
        <v>Vacaciones</v>
      </c>
      <c r="B73" s="79">
        <f>'Ingresos - Gastos'!D86/12</f>
        <v>150</v>
      </c>
      <c r="C73" s="79">
        <f>'Ingresos - Gastos'!D86</f>
        <v>1800</v>
      </c>
      <c r="D73" s="88">
        <f>B73</f>
        <v>150</v>
      </c>
      <c r="E73" s="79">
        <f>D73*12</f>
        <v>1800</v>
      </c>
      <c r="F73" s="79">
        <f>C73-E73</f>
        <v>0</v>
      </c>
      <c r="G73" s="49" t="n"/>
    </row>
    <row r="74">
      <c r="A74" s="26" t="str">
        <f>IF('Ingresos - Gastos'!A87="","",'Ingresos - Gastos'!A87)</f>
        <v>Regalos (cumpleaños, Navidad)</v>
      </c>
      <c r="B74" s="79">
        <f>'Ingresos - Gastos'!D87/12</f>
        <v>41.6666666666667</v>
      </c>
      <c r="C74" s="79">
        <f>'Ingresos - Gastos'!D87</f>
        <v>500</v>
      </c>
      <c r="D74" s="88">
        <f>B74</f>
        <v>41.6666666666667</v>
      </c>
      <c r="E74" s="79">
        <f>D74*12</f>
        <v>500</v>
      </c>
      <c r="F74" s="79">
        <f>C74-E74</f>
        <v>0</v>
      </c>
      <c r="G74" s="49" t="n"/>
    </row>
    <row r="75">
      <c r="A75" s="26">
        <f>IF('Ingresos - Gastos'!A88="","",'Ingresos - Gastos'!A88)</f>
        <v/>
      </c>
      <c r="B75" s="79">
        <f>'Ingresos - Gastos'!D88/12</f>
        <v>0</v>
      </c>
      <c r="C75" s="79">
        <f>'Ingresos - Gastos'!D88</f>
        <v>0</v>
      </c>
      <c r="D75" s="88">
        <f>B75</f>
        <v>0</v>
      </c>
      <c r="E75" s="79">
        <f>D75*12</f>
        <v>0</v>
      </c>
      <c r="F75" s="79">
        <f>C75-E75</f>
        <v>0</v>
      </c>
      <c r="G75" s="49" t="n"/>
    </row>
    <row r="76">
      <c r="A76" s="26">
        <f>IF('Ingresos - Gastos'!A89="","",'Ingresos - Gastos'!A89)</f>
        <v/>
      </c>
      <c r="B76" s="79">
        <f>'Ingresos - Gastos'!D89/12</f>
        <v>0</v>
      </c>
      <c r="C76" s="79">
        <f>'Ingresos - Gastos'!D89</f>
        <v>0</v>
      </c>
      <c r="D76" s="88">
        <f>B76</f>
        <v>0</v>
      </c>
      <c r="E76" s="79">
        <f>D76*12</f>
        <v>0</v>
      </c>
      <c r="F76" s="79">
        <f>C76-E76</f>
        <v>0</v>
      </c>
      <c r="G76" s="49" t="n"/>
    </row>
    <row r="77">
      <c r="A77" s="45" t="inlineStr">
        <is>
          <t xml:space="preserve">   Otros revisables</t>
        </is>
      </c>
      <c r="B77" s="87">
        <f>SUM(B78:B81)</f>
        <v>115</v>
      </c>
      <c r="C77" s="87">
        <f>SUM(C78:C81)</f>
        <v>1380</v>
      </c>
      <c r="D77" s="87">
        <f>SUM(D78:D81)</f>
        <v>115</v>
      </c>
      <c r="E77" s="87">
        <f>SUM(E78:E81)</f>
        <v>1380</v>
      </c>
      <c r="F77" s="87">
        <f>SUM(F78:F81)</f>
        <v>0</v>
      </c>
      <c r="G77" s="47" t="n"/>
    </row>
    <row r="78">
      <c r="A78" s="26" t="str">
        <f>IF('Ingresos - Gastos'!A91="","",'Ingresos - Gastos'!A91)</f>
        <v>Gastos extra e imprevistos</v>
      </c>
      <c r="B78" s="79">
        <f>'Ingresos - Gastos'!D91/12</f>
        <v>75</v>
      </c>
      <c r="C78" s="79">
        <f>'Ingresos - Gastos'!D91</f>
        <v>900</v>
      </c>
      <c r="D78" s="88">
        <f>B78</f>
        <v>75</v>
      </c>
      <c r="E78" s="79">
        <f>D78*12</f>
        <v>900</v>
      </c>
      <c r="F78" s="79">
        <f>C78-E78</f>
        <v>0</v>
      </c>
      <c r="G78" s="49" t="n"/>
    </row>
    <row r="79">
      <c r="A79" s="26" t="str">
        <f>IF('Ingresos - Gastos'!A92="","",'Ingresos - Gastos'!A92)</f>
        <v>Compras varias online</v>
      </c>
      <c r="B79" s="79">
        <f>'Ingresos - Gastos'!D92/12</f>
        <v>40</v>
      </c>
      <c r="C79" s="79">
        <f>'Ingresos - Gastos'!D92</f>
        <v>480</v>
      </c>
      <c r="D79" s="88">
        <f>B79</f>
        <v>40</v>
      </c>
      <c r="E79" s="79">
        <f>D79*12</f>
        <v>480</v>
      </c>
      <c r="F79" s="79">
        <f>C79-E79</f>
        <v>0</v>
      </c>
      <c r="G79" s="49" t="n"/>
    </row>
    <row r="80">
      <c r="A80" s="26">
        <f>IF('Ingresos - Gastos'!A93="","",'Ingresos - Gastos'!A93)</f>
        <v/>
      </c>
      <c r="B80" s="79">
        <f>'Ingresos - Gastos'!D93/12</f>
        <v>0</v>
      </c>
      <c r="C80" s="79">
        <f>'Ingresos - Gastos'!D93</f>
        <v>0</v>
      </c>
      <c r="D80" s="88">
        <f>B80</f>
        <v>0</v>
      </c>
      <c r="E80" s="79">
        <f>D80*12</f>
        <v>0</v>
      </c>
      <c r="F80" s="79">
        <f>C80-E80</f>
        <v>0</v>
      </c>
      <c r="G80" s="49" t="n"/>
    </row>
    <row r="81">
      <c r="A81" s="26">
        <f>IF('Ingresos - Gastos'!A94="","",'Ingresos - Gastos'!A94)</f>
        <v/>
      </c>
      <c r="B81" s="79">
        <f>'Ingresos - Gastos'!D94/12</f>
        <v>0</v>
      </c>
      <c r="C81" s="79">
        <f>'Ingresos - Gastos'!D94</f>
        <v>0</v>
      </c>
      <c r="D81" s="88">
        <f>B81</f>
        <v>0</v>
      </c>
      <c r="E81" s="79">
        <f>D81*12</f>
        <v>0</v>
      </c>
      <c r="F81" s="79">
        <f>C81-E81</f>
        <v>0</v>
      </c>
      <c r="G81" s="49" t="n"/>
    </row>
    <row r="83">
      <c r="A83" s="50" t="inlineStr">
        <is>
          <t>TOTAL GASTOS</t>
        </is>
      </c>
      <c r="B83" s="89">
        <f>B5+B24+B60</f>
        <v>3234.83333333333</v>
      </c>
      <c r="C83" s="89">
        <f>C5+C24+C60</f>
        <v>38818</v>
      </c>
      <c r="D83" s="89">
        <f>D5+D24+D60</f>
        <v>3234.83333333333</v>
      </c>
      <c r="E83" s="89">
        <f>E5+E24+E60</f>
        <v>38818</v>
      </c>
      <c r="F83" s="89">
        <f>F5+F24+F60</f>
        <v>0</v>
      </c>
      <c r="G83" s="52" t="n"/>
    </row>
    <row r="85">
      <c r="A85" s="53" t="inlineStr">
        <is>
          <t>AHORRO ANUAL PRESUPUESTADO</t>
        </is>
      </c>
      <c r="B85" s="6" t="n"/>
      <c r="C85" s="6" t="n"/>
      <c r="D85" s="6" t="n"/>
      <c r="E85" s="90">
        <f>'Ingresos - Gastos'!D15-E83</f>
        <v>11162</v>
      </c>
      <c r="F85" s="6" t="n"/>
      <c r="G85" s="6" t="n"/>
    </row>
    <row r="86">
      <c r="A86" s="53" t="inlineStr">
        <is>
          <t>AHORRO MENSUAL PRESUPUESTADO</t>
        </is>
      </c>
      <c r="B86" s="6" t="n"/>
      <c r="C86" s="6" t="n"/>
      <c r="D86" s="6" t="n"/>
      <c r="E86" s="90">
        <f>E85/12</f>
        <v>930.166666666667</v>
      </c>
      <c r="F86" s="6" t="n"/>
      <c r="G86" s="6" t="n"/>
    </row>
    <row r="87">
      <c r="A87" s="42" t="inlineStr">
        <is>
          <t>MEJORA FRENTE A HOY (anual)</t>
        </is>
      </c>
      <c r="B87" s="6" t="n"/>
      <c r="C87" s="6" t="n"/>
      <c r="D87" s="6" t="n"/>
      <c r="E87" s="91">
        <f>F83</f>
        <v>0</v>
      </c>
      <c r="F87" s="6" t="n"/>
      <c r="G87"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showGridLines="0" tabSelected="0" workbookViewId="0">
      <selection activeCell="A1" sqref="A1"/>
    </sheetView>
  </sheetViews>
  <sheetFormatPr baseColWidth="8" defaultRowHeight="15"/>
  <cols>
    <col width="24" customWidth="1" min="1" max="1"/>
    <col width="14" customWidth="1" min="2" max="2"/>
  </cols>
  <sheetData>
    <row r="1">
      <c r="A1" t="inlineStr">
        <is>
          <t>Bloque</t>
        </is>
      </c>
      <c r="B1" t="inlineStr">
        <is>
          <t>Anual</t>
        </is>
      </c>
    </row>
    <row r="2">
      <c r="A2" t="inlineStr">
        <is>
          <t>INDISPENSABLES</t>
        </is>
      </c>
      <c r="B2" s="92">
        <f>'Ingresos - Gastos'!D18</f>
        <v>13960</v>
      </c>
    </row>
    <row r="3">
      <c r="A3" t="inlineStr">
        <is>
          <t>NECESARIOS</t>
        </is>
      </c>
      <c r="B3" s="92">
        <f>'Ingresos - Gastos'!D37</f>
        <v>18590</v>
      </c>
    </row>
    <row r="4">
      <c r="A4" t="inlineStr">
        <is>
          <t>REVISABLES</t>
        </is>
      </c>
      <c r="B4" s="92">
        <f>'Ingresos - Gastos'!D73</f>
        <v>6268</v>
      </c>
    </row>
    <row r="7">
      <c r="A7" t="inlineStr">
        <is>
          <t>Ingresos</t>
        </is>
      </c>
      <c r="B7" t="inlineStr">
        <is>
          <t>Anual</t>
        </is>
      </c>
    </row>
    <row r="8">
      <c r="A8" t="inlineStr">
        <is>
          <t>Laborales</t>
        </is>
      </c>
      <c r="B8" s="92">
        <f>'Ingresos - Gastos'!D5</f>
        <v>49680</v>
      </c>
    </row>
    <row r="9">
      <c r="A9" t="inlineStr">
        <is>
          <t>Inversiones</t>
        </is>
      </c>
      <c r="B9" s="92">
        <f>'Ingresos - Gastos'!D11</f>
        <v>300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71"/>
  <sheetViews>
    <sheetView showGridLines="0" tabSelected="0" workbookViewId="0">
      <selection activeCell="A1" sqref="A1"/>
    </sheetView>
  </sheetViews>
  <sheetFormatPr baseColWidth="8" defaultRowHeight="15"/>
  <cols>
    <col width="44" customWidth="1" min="1" max="1"/>
    <col width="16" customWidth="1" min="2" max="2"/>
    <col width="16" customWidth="1" min="3" max="3"/>
    <col width="18" customWidth="1" min="4" max="4"/>
    <col width="95" customWidth="1" min="5" max="5"/>
  </cols>
  <sheetData>
    <row r="1">
      <c r="A1" s="1" t="inlineStr">
        <is>
          <t>FONDO DE EMERGENCIA</t>
        </is>
      </c>
    </row>
    <row r="2">
      <c r="A2" s="4" t="inlineStr">
        <is>
          <t>Cuánto aguantáis sin ingresos. La clave: en una emergencia NO se gasta lo mismo — los revisables se cortan el primer día.</t>
        </is>
      </c>
    </row>
    <row r="3" ht="18" customHeight="1">
      <c r="A3" s="8" t="inlineStr">
        <is>
          <t>A) ¿CUÁNTO CUESTA VIVIR EN MODO EMERGENCIA?</t>
        </is>
      </c>
      <c r="B3" s="9" t="n"/>
      <c r="C3" s="9" t="n"/>
      <c r="D3" s="9" t="n"/>
      <c r="E3" s="9" t="n"/>
    </row>
    <row r="4">
      <c r="A4" s="57" t="inlineStr">
        <is>
          <t xml:space="preserve">   Gasto actual completo</t>
        </is>
      </c>
      <c r="B4" s="49" t="n"/>
      <c r="C4" s="93">
        <f>'Ingresos - Gastos'!D96/12</f>
        <v>3234.83333333333</v>
      </c>
      <c r="E4" s="14" t="inlineStr">
        <is>
          <t>Todo lo de la hoja de gastos</t>
        </is>
      </c>
    </row>
    <row r="5">
      <c r="A5" s="57" t="inlineStr">
        <is>
          <t xml:space="preserve">   − Revisables (se cortan el primer día)</t>
        </is>
      </c>
      <c r="B5" s="49" t="n"/>
      <c r="C5" s="93">
        <f>-'Ingresos - Gastos'!D73/12</f>
        <v>-522.333333333333</v>
      </c>
      <c r="E5" s="14" t="inlineStr">
        <is>
          <t>Suscripciones, ocio, vacaciones, restaurantes, imprevistos, compras online</t>
        </is>
      </c>
    </row>
    <row r="6">
      <c r="A6" s="57" t="inlineStr">
        <is>
          <t xml:space="preserve">   − Plan de pensiones</t>
        </is>
      </c>
      <c r="B6" s="49" t="n"/>
      <c r="C6" s="93">
        <f>-'Ingresos - Gastos'!D33/12</f>
        <v>-150</v>
      </c>
      <c r="E6" s="14" t="inlineStr">
        <is>
          <t>Se puede suspender en una emergencia</t>
        </is>
      </c>
    </row>
    <row r="7">
      <c r="A7" s="57" t="inlineStr">
        <is>
          <t xml:space="preserve">   − Supermercado más ajustado</t>
        </is>
      </c>
      <c r="B7" s="49" t="n"/>
      <c r="C7" s="93" t="n">
        <v>-80</v>
      </c>
      <c r="E7" s="14" t="inlineStr">
        <is>
          <t>EJEMPLO de ajuste — cámbialo o bórralo</t>
        </is>
      </c>
    </row>
    <row r="8">
      <c r="A8" s="59" t="inlineStr">
        <is>
          <t xml:space="preserve">   − (escribe aquí el concepto)</t>
        </is>
      </c>
      <c r="B8" s="49" t="n"/>
      <c r="C8" s="93" t="n"/>
      <c r="E8" s="14" t="inlineStr">
        <is>
          <t>LIBRE: pon el concepto a la izquierda y en negativo lo que recortarías al mes. Ej.: supermercado −150, ocio −80, ropa −40</t>
        </is>
      </c>
    </row>
    <row r="9">
      <c r="A9" s="59" t="inlineStr">
        <is>
          <t xml:space="preserve">   − (escribe aquí el concepto)</t>
        </is>
      </c>
      <c r="B9" s="49" t="n"/>
      <c r="C9" s="93" t="n"/>
    </row>
    <row r="10">
      <c r="A10" s="59" t="inlineStr">
        <is>
          <t xml:space="preserve">   − (escribe aquí el concepto)</t>
        </is>
      </c>
      <c r="B10" s="49" t="n"/>
      <c r="C10" s="93" t="n"/>
    </row>
    <row r="11">
      <c r="A11" s="59" t="inlineStr">
        <is>
          <t xml:space="preserve">   − (escribe aquí el concepto)</t>
        </is>
      </c>
      <c r="B11" s="49" t="n"/>
      <c r="C11" s="93" t="n"/>
    </row>
    <row r="12">
      <c r="A12" s="60" t="inlineStr">
        <is>
          <t>GASTO DE SUPERVIVENCIA (al mes)</t>
        </is>
      </c>
      <c r="B12" s="49" t="n"/>
      <c r="C12" s="94">
        <f>SUM(C4:C11)</f>
        <v>2482.5</v>
      </c>
      <c r="E12" s="14" t="inlineStr">
        <is>
          <t>Es la cifra que manda en todo lo de abajo</t>
        </is>
      </c>
    </row>
    <row r="14" ht="18" customHeight="1">
      <c r="A14" s="8" t="inlineStr">
        <is>
          <t>B) INGRESOS DISPONIBLES</t>
        </is>
      </c>
      <c r="B14" s="9" t="n"/>
      <c r="C14" s="9" t="n"/>
      <c r="D14" s="9" t="n"/>
      <c r="E14" s="9" t="n"/>
    </row>
    <row r="15">
      <c r="A15" s="57" t="inlineStr">
        <is>
          <t xml:space="preserve">   Neto mensual Ana</t>
        </is>
      </c>
      <c r="B15" s="49" t="n"/>
      <c r="C15" s="93">
        <f>'Ingresos - Gastos'!B6</f>
        <v>2100</v>
      </c>
      <c r="E15" s="14" t="inlineStr">
        <is>
          <t>Solo la nómina: lo que se paga en especie y los extras variables se pierden con el empleo</t>
        </is>
      </c>
    </row>
    <row r="16">
      <c r="A16" s="57" t="inlineStr">
        <is>
          <t xml:space="preserve">   Neto mensual Luis</t>
        </is>
      </c>
      <c r="B16" s="49" t="n"/>
      <c r="C16" s="93">
        <f>'Ingresos - Gastos'!B7</f>
        <v>1850</v>
      </c>
      <c r="E16" s="14" t="inlineStr">
        <is>
          <t>Mismo criterio</t>
        </is>
      </c>
    </row>
    <row r="17">
      <c r="A17" s="57" t="inlineStr">
        <is>
          <t xml:space="preserve">   Paro neto estimado Ana</t>
        </is>
      </c>
      <c r="B17" s="49" t="n"/>
      <c r="C17" s="93" t="n">
        <v>1150</v>
      </c>
      <c r="E17" s="14" t="inlineStr">
        <is>
          <t>EJEMPLO. Calcula el tuyo en la web del SEPE: depende de tu base de cotización, tiene un tope que sube con los hijos a cargo y baja a partir del día 181</t>
        </is>
      </c>
    </row>
    <row r="18">
      <c r="A18" s="57" t="inlineStr">
        <is>
          <t xml:space="preserve">   Paro neto estimado Luis</t>
        </is>
      </c>
      <c r="B18" s="49" t="n"/>
      <c r="C18" s="93" t="n">
        <v>1050</v>
      </c>
      <c r="E18" s="14" t="inlineStr">
        <is>
          <t>EJEMPLO. Mismo criterio. La DURACIÓN se pone en el bloque G</t>
        </is>
      </c>
    </row>
    <row r="20" ht="18" customHeight="1">
      <c r="A20" s="8" t="inlineStr">
        <is>
          <t>C) ESCENARIOS</t>
        </is>
      </c>
      <c r="B20" s="9" t="n"/>
      <c r="C20" s="9" t="n"/>
      <c r="D20" s="9" t="n"/>
      <c r="E20" s="9" t="n"/>
    </row>
    <row r="21" ht="30" customHeight="1">
      <c r="A21" s="62" t="inlineStr">
        <is>
          <t>Escenario</t>
        </is>
      </c>
      <c r="B21" s="62" t="inlineStr">
        <is>
          <t>Ingresos/mes</t>
        </is>
      </c>
      <c r="C21" s="62" t="inlineStr">
        <is>
          <t>Déficit/mes</t>
        </is>
      </c>
      <c r="D21" s="62" t="inlineStr">
        <is>
          <t>Meses con el colchón</t>
        </is>
      </c>
      <c r="E21" s="62" t="inlineStr">
        <is>
          <t>Meses con toda la liquidez</t>
        </is>
      </c>
    </row>
    <row r="22">
      <c r="A22" s="57" t="inlineStr">
        <is>
          <t>Ana en paro, Luis trabaja</t>
        </is>
      </c>
      <c r="B22" s="95">
        <f>C16+C17</f>
        <v>3000</v>
      </c>
      <c r="C22" s="95">
        <f>MAX(0,$C$12-B22)</f>
        <v>0</v>
      </c>
      <c r="D22" s="96">
        <f>IF(C22&gt;0,$C$33/C22,0)</f>
        <v>0</v>
      </c>
      <c r="E22" s="96">
        <f>IF(C22&gt;0,$C$37/C22,0)</f>
        <v>0</v>
      </c>
    </row>
    <row r="23">
      <c r="A23" s="57" t="inlineStr">
        <is>
          <t>Luis en paro, Ana trabaja</t>
        </is>
      </c>
      <c r="B23" s="95">
        <f>C15+C18</f>
        <v>3150</v>
      </c>
      <c r="C23" s="95">
        <f>MAX(0,$C$12-B23)</f>
        <v>0</v>
      </c>
      <c r="D23" s="96">
        <f>IF(C23&gt;0,$C$33/C23,0)</f>
        <v>0</v>
      </c>
      <c r="E23" s="96">
        <f>IF(C23&gt;0,$C$37/C23,0)</f>
        <v>0</v>
      </c>
    </row>
    <row r="24">
      <c r="A24" s="57" t="inlineStr">
        <is>
          <t>Los dos en paro (cobrando prestación)</t>
        </is>
      </c>
      <c r="B24" s="95">
        <f>C17+C18</f>
        <v>2200</v>
      </c>
      <c r="C24" s="95">
        <f>MAX(0,$C$12-B24)</f>
        <v>282.5</v>
      </c>
      <c r="D24" s="96">
        <f>IF(C24&gt;0,$C$33/C24,0)</f>
        <v>49.5575221238938</v>
      </c>
      <c r="E24" s="96">
        <f>IF(C24&gt;0,$C$37/C24,0)</f>
        <v>75.0442477876106</v>
      </c>
    </row>
    <row r="25">
      <c r="A25" s="65" t="inlineStr">
        <is>
          <t>Los dos en paro, PRESTACIÓN AGOTADA</t>
        </is>
      </c>
      <c r="B25" s="95" t="n">
        <v>0</v>
      </c>
      <c r="C25" s="95">
        <f>MAX(0,$C$12-B25)</f>
        <v>2482.5</v>
      </c>
      <c r="D25" s="96">
        <f>IF(C25&gt;0,$C$33/C25,0)</f>
        <v>5.63947633434038</v>
      </c>
      <c r="E25" s="96">
        <f>IF(C25&gt;0,$C$37/C25,0)</f>
        <v>8.53977844914401</v>
      </c>
    </row>
    <row r="26">
      <c r="A26" s="20" t="inlineStr">
        <is>
          <t>Un 0 en «meses» significa que NO hay déficit: ese sueldo cubre el gasto de supervivencia sin tocar el colchón. La última fila es el escenario a vigilar: cuando se acaba la prestación.</t>
        </is>
      </c>
    </row>
    <row r="28" ht="18" customHeight="1">
      <c r="A28" s="8" t="inlineStr">
        <is>
          <t>D) LIQUIDEZ DISPONIBLE</t>
        </is>
      </c>
      <c r="B28" s="9" t="n"/>
      <c r="C28" s="9" t="n"/>
      <c r="D28" s="9" t="n"/>
      <c r="E28" s="9" t="n"/>
    </row>
    <row r="29">
      <c r="A29" s="57" t="inlineStr">
        <is>
          <t xml:space="preserve">   Colchón de emergencia</t>
        </is>
      </c>
      <c r="B29" s="49" t="n"/>
      <c r="C29" s="93">
        <f>'Patrimonio Neto'!E9</f>
        <v>14000</v>
      </c>
      <c r="E29" s="14" t="inlineStr">
        <is>
          <t>Intocable, designado para esto</t>
        </is>
      </c>
    </row>
    <row r="30">
      <c r="A30" s="57" t="inlineStr">
        <is>
          <t xml:space="preserve">   Cuenta corriente común</t>
        </is>
      </c>
      <c r="B30" s="49" t="n"/>
      <c r="C30" s="93">
        <f>'Patrimonio Neto'!E8</f>
        <v>4500</v>
      </c>
      <c r="E30" s="14" t="inlineStr">
        <is>
          <t>Buffer operativo + lo pendiente de invertir</t>
        </is>
      </c>
    </row>
    <row r="31">
      <c r="A31" s="57" t="inlineStr">
        <is>
          <t xml:space="preserve">   Cuentas personales</t>
        </is>
      </c>
      <c r="B31" s="49" t="n"/>
      <c r="C31" s="93">
        <f>'Patrimonio Neto'!E10+'Patrimonio Neto'!E11</f>
        <v>2700</v>
      </c>
    </row>
    <row r="33">
      <c r="A33" s="66" t="inlineStr">
        <is>
          <t>COLCHÓN DESIGNADO</t>
        </is>
      </c>
      <c r="B33" s="67" t="n"/>
      <c r="C33" s="97">
        <f>C29</f>
        <v>14000</v>
      </c>
      <c r="E33" s="14" t="inlineStr">
        <is>
          <t>El que se usa en la columna «meses con el colchón»</t>
        </is>
      </c>
    </row>
    <row r="37">
      <c r="A37" s="66" t="inlineStr">
        <is>
          <t>LIQUIDEZ TOTAL</t>
        </is>
      </c>
      <c r="B37" s="67" t="n"/>
      <c r="C37" s="97">
        <f>C29+C30+C31</f>
        <v>21200</v>
      </c>
      <c r="E37" s="14" t="inlineStr">
        <is>
          <t>Todo el dinero disponible sin vender inversiones. NO incluye las carteras de inversión ni el plan de pensiones: vender inversiones en mitad de una crisis es justo lo que el colchón evita</t>
        </is>
      </c>
    </row>
    <row r="39" ht="18" customHeight="1">
      <c r="A39" s="8" t="inlineStr">
        <is>
          <t>E) OBJETIVO DEL FONDO — elige tú el nivel</t>
        </is>
      </c>
      <c r="B39" s="9" t="n"/>
      <c r="C39" s="9" t="n"/>
      <c r="D39" s="9" t="n"/>
      <c r="E39" s="9" t="n"/>
    </row>
    <row r="40" ht="30" customHeight="1">
      <c r="A40" s="62" t="inlineStr">
        <is>
          <t>Escenario</t>
        </is>
      </c>
      <c r="B40" s="62" t="inlineStr">
        <is>
          <t>Déficit/mes</t>
        </is>
      </c>
      <c r="C40" s="62" t="inlineStr">
        <is>
          <t>Cubrir 6 meses</t>
        </is>
      </c>
      <c r="D40" s="62" t="inlineStr">
        <is>
          <t>Cubrir 12 meses</t>
        </is>
      </c>
      <c r="E40" s="62" t="inlineStr">
        <is>
          <t>Sobra/falta frente al colchón (12 m)</t>
        </is>
      </c>
    </row>
    <row r="41">
      <c r="A41" s="57" t="inlineStr">
        <is>
          <t>Ana en paro, Luis trabaja</t>
        </is>
      </c>
      <c r="B41" s="95">
        <f>C22</f>
        <v>0</v>
      </c>
      <c r="C41" s="95">
        <f>C22*6</f>
        <v>0</v>
      </c>
      <c r="D41" s="95">
        <f>C22*12</f>
        <v>0</v>
      </c>
      <c r="E41" s="95">
        <f>$C$33-D41</f>
        <v>14000</v>
      </c>
    </row>
    <row r="42">
      <c r="A42" s="57" t="inlineStr">
        <is>
          <t>Luis en paro, Ana trabaja</t>
        </is>
      </c>
      <c r="B42" s="95">
        <f>C23</f>
        <v>0</v>
      </c>
      <c r="C42" s="95">
        <f>C23*6</f>
        <v>0</v>
      </c>
      <c r="D42" s="95">
        <f>C23*12</f>
        <v>0</v>
      </c>
      <c r="E42" s="95">
        <f>$C$33-D42</f>
        <v>14000</v>
      </c>
    </row>
    <row r="43">
      <c r="A43" s="57" t="inlineStr">
        <is>
          <t>Los dos en paro (cobrando prestación)</t>
        </is>
      </c>
      <c r="B43" s="95">
        <f>C24</f>
        <v>282.5</v>
      </c>
      <c r="C43" s="95">
        <f>C24*6</f>
        <v>1695</v>
      </c>
      <c r="D43" s="95">
        <f>C24*12</f>
        <v>3390</v>
      </c>
      <c r="E43" s="95">
        <f>$C$33-D43</f>
        <v>10610</v>
      </c>
    </row>
    <row r="44">
      <c r="A44" s="69" t="inlineStr">
        <is>
          <t>Los dos en paro, PRESTACIÓN AGOTADA</t>
        </is>
      </c>
      <c r="B44" s="95">
        <f>C25</f>
        <v>2482.5</v>
      </c>
      <c r="C44" s="95">
        <f>C25*6</f>
        <v>14895</v>
      </c>
      <c r="D44" s="95">
        <f>C25*12</f>
        <v>29790</v>
      </c>
      <c r="E44" s="95">
        <f>$C$33-D44</f>
        <v>-15790</v>
      </c>
    </row>
    <row r="45">
      <c r="A45" s="33" t="inlineStr">
        <is>
          <t>MEDIA de 3 casos (los de déficit 0 cuentan como uno)</t>
        </is>
      </c>
      <c r="B45" s="83">
        <f>(MAX(C22,C23)+C24+C25)/3</f>
        <v>921.666666666667</v>
      </c>
      <c r="C45" s="83">
        <f>B45*6</f>
        <v>5530</v>
      </c>
      <c r="D45" s="83">
        <f>B45*12</f>
        <v>11060</v>
      </c>
      <c r="E45" s="83">
        <f>$C$33-D45</f>
        <v>2940</v>
      </c>
    </row>
    <row r="46">
      <c r="A46" s="20" t="inlineStr">
        <is>
          <t>«Ana en paro» y «Luis en paro» son el MISMO suceso (cae uno de los dos), así que cuentan como un solo caso, con el peor de los dos (MAX). Aun así la media da el mismo peso a «cae uno» que a «caen los dos y se agota la prestación», que es mucho menos probable. Úsala como referencia alta, no como objetivo.</t>
        </is>
      </c>
    </row>
    <row r="48" ht="18" customHeight="1">
      <c r="A48" s="8" t="inlineStr">
        <is>
          <t>F) LO QUE EL COLCHÓN CUBRE ADEMÁS DEL PARO</t>
        </is>
      </c>
      <c r="B48" s="9" t="n"/>
      <c r="C48" s="9" t="n"/>
      <c r="D48" s="9" t="n"/>
      <c r="E48" s="9" t="n"/>
    </row>
    <row r="49">
      <c r="A49" s="57" t="inlineStr">
        <is>
          <t xml:space="preserve">   Desfase hasta el primer cobro del paro</t>
        </is>
      </c>
      <c r="B49" s="49" t="n"/>
      <c r="C49" s="93">
        <f>C4*2</f>
        <v>6469.66666666667</v>
      </c>
      <c r="E49" s="14" t="inlineStr">
        <is>
          <t>2 meses de gasto COMPLETO (no de supervivencia): no cobras el día 1, hay que solicitarlo y el primer pago tarda semanas. Cambia el 2 si quieres otro margen</t>
        </is>
      </c>
    </row>
    <row r="50">
      <c r="A50" s="57" t="inlineStr">
        <is>
          <t xml:space="preserve">   Imprevisto gordo (avería, derrama, salud)</t>
        </is>
      </c>
      <c r="B50" s="49" t="n"/>
      <c r="C50" s="93" t="n">
        <v>1500</v>
      </c>
      <c r="E50" s="14" t="inlineStr">
        <is>
          <t>EJEMPLO. Es el uso MÁS FRECUENTE del colchón: caldera, derrama de la comunidad, avería seria del coche, gasto médico. Pon tu cifra</t>
        </is>
      </c>
    </row>
    <row r="51">
      <c r="A51" s="70" t="inlineStr">
        <is>
          <t>SUELO DEL COLCHÓN (sin contar el paro)</t>
        </is>
      </c>
      <c r="B51" s="71" t="n"/>
      <c r="C51" s="94">
        <f>C49+C50</f>
        <v>7969.66666666667</v>
      </c>
      <c r="E51" s="14" t="inlineStr">
        <is>
          <t>Esto haría falta aunque nadie perdiera el empleo</t>
        </is>
      </c>
    </row>
    <row r="53">
      <c r="A53" s="66" t="inlineStr">
        <is>
          <t>Colchón actual</t>
        </is>
      </c>
      <c r="B53" s="67" t="n"/>
      <c r="C53" s="97">
        <f>C33</f>
        <v>14000</v>
      </c>
    </row>
    <row r="55">
      <c r="A55" s="72" t="inlineStr">
        <is>
          <t>Cómo leer esto: si cae uno solo de los dos y el otro sueldo cubre el gasto de supervivencia, el déficit es CERO. El trabajo real del colchón suele ser el bloque F: el hueco hasta que entra el paro y el imprevisto gordo.</t>
        </is>
      </c>
    </row>
    <row r="56">
      <c r="A56" s="20" t="inlineStr">
        <is>
          <t>Si pierdes el empleo también pierdes lo que la empresa paga en especie (p. ej. el seguro médico). Si sigues contándolo como gasto de supervivencia, el cálculo va por el lado seguro.</t>
        </is>
      </c>
    </row>
    <row r="58" ht="18" customHeight="1">
      <c r="A58" s="8" t="inlineStr">
        <is>
          <t>G) SI CAÉIS LOS DOS: ¿CUÁNTO AGUANTÁIS DE VERDAD?</t>
        </is>
      </c>
      <c r="B58" s="9" t="n"/>
      <c r="C58" s="9" t="n"/>
      <c r="D58" s="9" t="n"/>
      <c r="E58" s="9" t="n"/>
    </row>
    <row r="59">
      <c r="A59" s="57" t="inlineStr">
        <is>
          <t xml:space="preserve">   Meses que dura la prestación</t>
        </is>
      </c>
      <c r="B59" s="49" t="n"/>
      <c r="C59" s="93" t="n">
        <v>24</v>
      </c>
      <c r="E59" s="14" t="inlineStr">
        <is>
          <t>EJEMPLO. Depende de lo cotizado en los últimos 6 años; el máximo son 720 días (24 meses). Es el dato que manda en todo este bloque</t>
        </is>
      </c>
    </row>
    <row r="60">
      <c r="A60" s="57" t="inlineStr">
        <is>
          <t xml:space="preserve">   Déficit mientras cobráis la prestación</t>
        </is>
      </c>
      <c r="B60" s="49" t="n"/>
      <c r="C60" s="93">
        <f>C24</f>
        <v>282.5</v>
      </c>
      <c r="E60" s="14" t="inlineStr">
        <is>
          <t>Del escenario «los dos en paro, cobrando»</t>
        </is>
      </c>
    </row>
    <row r="61">
      <c r="A61" s="57" t="inlineStr">
        <is>
          <t xml:space="preserve">   Déficit cuando se agota</t>
        </is>
      </c>
      <c r="B61" s="49" t="n"/>
      <c r="C61" s="93">
        <f>C25</f>
        <v>2482.5</v>
      </c>
      <c r="E61" s="14" t="inlineStr">
        <is>
          <t>Del escenario «prestación agotada»</t>
        </is>
      </c>
    </row>
    <row r="62">
      <c r="A62" s="57" t="inlineStr">
        <is>
          <t xml:space="preserve">   Coste de los meses con prestación</t>
        </is>
      </c>
      <c r="B62" s="49" t="n"/>
      <c r="C62" s="93">
        <f>C59*C60</f>
        <v>6780</v>
      </c>
      <c r="E62" s="14" t="inlineStr">
        <is>
          <t>Lo que os cuesta el agujero durante toda la prestación</t>
        </is>
      </c>
    </row>
    <row r="63">
      <c r="A63" s="57" t="inlineStr">
        <is>
          <t xml:space="preserve">   Queda del colchón después</t>
        </is>
      </c>
      <c r="B63" s="49" t="n"/>
      <c r="C63" s="93">
        <f>C33-C62</f>
        <v>7220</v>
      </c>
    </row>
    <row r="64">
      <c r="A64" s="57" t="inlineStr">
        <is>
          <t xml:space="preserve">   Meses extra que aguanta el colchón</t>
        </is>
      </c>
      <c r="B64" s="49" t="n"/>
      <c r="C64" s="98">
        <f>MAX(0,C63/C61)</f>
        <v>2.90835850956697</v>
      </c>
    </row>
    <row r="65">
      <c r="A65" s="70" t="inlineStr">
        <is>
          <t>MESES TOTALES con el colchón</t>
        </is>
      </c>
      <c r="B65" s="71" t="n"/>
      <c r="C65" s="99">
        <f>C59+C64</f>
        <v>26.908358509567</v>
      </c>
      <c r="E65" s="14" t="inlineStr">
        <is>
          <t>Prestación + lo que estira el colchón después</t>
        </is>
      </c>
    </row>
    <row r="67">
      <c r="A67" s="57" t="inlineStr">
        <is>
          <t xml:space="preserve">   Queda de la liquidez total después</t>
        </is>
      </c>
      <c r="B67" s="49" t="n"/>
      <c r="C67" s="93">
        <f>C37-C62</f>
        <v>14420</v>
      </c>
    </row>
    <row r="68">
      <c r="A68" s="57" t="inlineStr">
        <is>
          <t xml:space="preserve">   Meses extra con toda la liquidez</t>
        </is>
      </c>
      <c r="B68" s="49" t="n"/>
      <c r="C68" s="98">
        <f>MAX(0,C67/C61)</f>
        <v>5.80866062437059</v>
      </c>
    </row>
    <row r="69">
      <c r="A69" s="66" t="inlineStr">
        <is>
          <t>MESES TOTALES con toda la liquidez</t>
        </is>
      </c>
      <c r="B69" s="67" t="n"/>
      <c r="C69" s="100">
        <f>C59+C68</f>
        <v>29.8086606243706</v>
      </c>
      <c r="E69" s="14" t="inlineStr">
        <is>
          <t>Sin vender ninguna inversión</t>
        </is>
      </c>
    </row>
    <row r="71">
      <c r="A71" s="72" t="inlineStr">
        <is>
          <t>Este bloque es el que responde de verdad a «¿cuánto aguantamos?». Los meses de prestación son casi gratis (el déficit es pequeño); el reloj empieza a correr el día que se agota.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tabSelected="0" workbookViewId="0">
      <selection activeCell="A1" sqref="A1"/>
    </sheetView>
  </sheetViews>
  <sheetFormatPr baseColWidth="8" defaultRowHeight="15"/>
  <cols>
    <col width="38" customWidth="1" min="1" max="1"/>
    <col width="16" customWidth="1" min="2" max="2"/>
    <col width="16" customWidth="1" min="3" max="3"/>
    <col width="14" customWidth="1" min="4" max="4"/>
    <col width="14" customWidth="1" min="5" max="5"/>
    <col width="24" customWidth="1" min="6" max="6"/>
  </cols>
  <sheetData>
    <row r="1">
      <c r="A1" s="101" t="inlineStr">
        <is>
          <t>PANEL DE MANDO</t>
        </is>
      </c>
    </row>
    <row r="2">
      <c r="A2" s="102" t="inlineStr">
        <is>
          <t>Toca SOLO las celdas verdes de esta pestaña. Todo lo demás del libro se recalcula. Las pestañas «Objetivos» y «Proyección» son el detalle: no hace falta abrirlas para jugar.</t>
        </is>
      </c>
    </row>
    <row r="4" ht="26" customHeight="1">
      <c r="A4" s="103" t="str">
        <f>Proyección!A3</f>
        <v>✓ Todos los objetivos se pagan</v>
      </c>
    </row>
    <row r="5">
      <c r="A5" s="104" t="str">
        <f>IF(LEFT(Proyección!A3,1)="✓","Con estos números tu plan se sostiene.","Sube la aportación de la cartera que salga en rojo abajo, o retrasa/abarata ese objetivo.")</f>
        <v>Con estos números tu plan se sostiene.</v>
      </c>
    </row>
    <row r="7">
      <c r="A7" s="105" t="inlineStr">
        <is>
          <t>TUS CARTERAS  — lo que aportas a cada una</t>
        </is>
      </c>
      <c r="B7" s="105" t="n"/>
      <c r="C7" s="105" t="n"/>
      <c r="D7" s="105" t="n"/>
      <c r="E7" s="105" t="n"/>
      <c r="F7" s="105" t="n"/>
    </row>
    <row r="8" ht="30" customHeight="1">
      <c r="A8" s="106" t="inlineStr">
        <is>
          <t>CARTERA</t>
        </is>
      </c>
      <c r="B8" s="106" t="inlineStr">
        <is>
          <t>RENTABILIDAD</t>
        </is>
      </c>
      <c r="C8" s="106" t="inlineStr">
        <is>
          <t>APORTAS
€/mes</t>
        </is>
      </c>
      <c r="D8" s="106" t="inlineStr">
        <is>
          <t>NECESITA
€/mes</t>
        </is>
      </c>
      <c r="E8" s="106" t="inlineStr">
        <is>
          <t>DIFERENCIA</t>
        </is>
      </c>
      <c r="F8" s="106" t="inlineStr">
        <is>
          <t>ESTADO</t>
        </is>
      </c>
    </row>
    <row r="9" ht="20" customHeight="1">
      <c r="A9" s="107" t="inlineStr">
        <is>
          <t>Cartera conservadora</t>
        </is>
      </c>
      <c r="B9" s="108" t="n">
        <v>0.035</v>
      </c>
      <c r="C9" s="109" t="n">
        <v>380</v>
      </c>
      <c r="D9" s="110">
        <f>Objetivos!F19</f>
        <v>374.13261679151</v>
      </c>
      <c r="E9" s="110">
        <f>C9-D9</f>
        <v>5.86738320848986</v>
      </c>
      <c r="F9" s="111" t="str">
        <f>Objetivos!G19</f>
        <v>✓ cubierta</v>
      </c>
    </row>
    <row r="10" ht="20" customHeight="1">
      <c r="A10" s="107" t="inlineStr">
        <is>
          <t>Cartera indexada global</t>
        </is>
      </c>
      <c r="B10" s="108" t="n">
        <v>0.06</v>
      </c>
      <c r="C10" s="109" t="n">
        <v>410</v>
      </c>
      <c r="D10" s="110">
        <f>Objetivos!F20</f>
        <v>404.206728703411</v>
      </c>
      <c r="E10" s="110">
        <f>C10-D10</f>
        <v>5.79327129658861</v>
      </c>
      <c r="F10" s="111" t="str">
        <f>Objetivos!G20</f>
        <v>✓ cubierta</v>
      </c>
    </row>
    <row r="11" ht="20" customHeight="1">
      <c r="A11" s="107" t="inlineStr">
        <is>
          <t>Plan de pensiones</t>
        </is>
      </c>
      <c r="B11" s="108" t="n">
        <v>0.05</v>
      </c>
      <c r="C11" s="110">
        <f>'Ingresos - Gastos'!D33/12</f>
        <v>150</v>
      </c>
      <c r="D11" s="110">
        <f>Objetivos!F21</f>
        <v>139.061691119728</v>
      </c>
      <c r="E11" s="110">
        <f>C11-D11</f>
        <v>10.9383088802723</v>
      </c>
      <c r="F11" s="111" t="str">
        <f>Objetivos!G21</f>
        <v>✓ cubierta</v>
      </c>
    </row>
    <row r="12">
      <c r="A12" s="112" t="inlineStr">
        <is>
          <t>TOTAL</t>
        </is>
      </c>
      <c r="B12" s="112" t="n"/>
      <c r="C12" s="113">
        <f>SUM(C9:C11)</f>
        <v>940</v>
      </c>
      <c r="D12" s="113">
        <f>SUM(D9:D11)</f>
        <v>917.401036614649</v>
      </c>
      <c r="E12" s="113">
        <f>SUM(E9:E11)</f>
        <v>22.5989633853507</v>
      </c>
      <c r="F12" s="112" t="n"/>
    </row>
    <row r="16">
      <c r="A16" s="105" t="inlineStr">
        <is>
          <t>SUPUESTOS</t>
        </is>
      </c>
      <c r="B16" s="105" t="n"/>
      <c r="C16" s="105" t="n"/>
    </row>
    <row r="17">
      <c r="A17" s="114" t="inlineStr">
        <is>
          <t>Inflación anual</t>
        </is>
      </c>
      <c r="B17" s="108" t="n">
        <v>0.025</v>
      </c>
      <c r="C17" s="102" t="inlineStr">
        <is>
          <t>Cuánto sube el precio de las cosas</t>
        </is>
      </c>
    </row>
    <row r="18">
      <c r="A18" s="114" t="inlineStr">
        <is>
          <t>Impuestos sobre la plusvalía</t>
        </is>
      </c>
      <c r="B18" s="108" t="n">
        <v>0.22</v>
      </c>
      <c r="C18" s="102" t="inlineStr">
        <is>
          <t>Tipo medio al vender (en España la base del ahorro va por tramos, del 19% al 30%)</t>
        </is>
      </c>
    </row>
    <row r="19">
      <c r="A19" s="114" t="inlineStr">
        <is>
          <t>Incremento anual de la aportación</t>
        </is>
      </c>
      <c r="B19" s="108" t="n">
        <v>0.02</v>
      </c>
      <c r="C19" s="102" t="inlineStr">
        <is>
          <t>Si es menor que la inflación, cada año inviertes menos en términos reales</t>
        </is>
      </c>
    </row>
    <row r="20">
      <c r="A20" s="114" t="inlineStr">
        <is>
          <t>Dejo de aportar dentro de (años)</t>
        </is>
      </c>
      <c r="B20" s="115" t="n"/>
      <c r="C20" s="102" t="inlineStr">
        <is>
          <t>Vacío = sigue al objetivo de tipo «Jubilación»</t>
        </is>
      </c>
    </row>
    <row r="22">
      <c r="A22" s="105" t="inlineStr">
        <is>
          <t>CÓMO VAS</t>
        </is>
      </c>
      <c r="B22" s="105" t="n"/>
      <c r="C22" s="105" t="n"/>
    </row>
    <row r="23">
      <c r="A23" s="114" t="inlineStr">
        <is>
          <t>Aportas al mes (todas las carteras)</t>
        </is>
      </c>
      <c r="B23" s="116">
        <f>C12</f>
        <v>940</v>
      </c>
      <c r="C23" s="102" t="inlineStr"/>
    </row>
    <row r="24">
      <c r="A24" s="114" t="inlineStr">
        <is>
          <t>Necesitas al mes</t>
        </is>
      </c>
      <c r="B24" s="116">
        <f>D12</f>
        <v>917.401036614649</v>
      </c>
      <c r="C24" s="102" t="inlineStr">
        <is>
          <t>Suma de lo que pide cada objetivo</t>
        </is>
      </c>
    </row>
    <row r="25">
      <c r="A25" s="117" t="inlineStr">
        <is>
          <t>→ TE FALTA / TE SOBRA</t>
        </is>
      </c>
      <c r="B25" s="118">
        <f>C12-D12</f>
        <v>22.5989633853508</v>
      </c>
      <c r="C25" s="119" t="inlineStr">
        <is>
          <t>En negativo, es lo que hay que subir</t>
        </is>
      </c>
    </row>
    <row r="26">
      <c r="A26" s="114" t="inlineStr">
        <is>
          <t>Tu ahorro real (de tus cuentas)</t>
        </is>
      </c>
      <c r="B26" s="116">
        <f>Objetivos!B13</f>
        <v>930.166666666667</v>
      </c>
      <c r="C26" s="102" t="inlineStr">
        <is>
          <t>Lo que de verdad te sobra cada mes</t>
        </is>
      </c>
    </row>
    <row r="27">
      <c r="A27" s="114" t="inlineStr">
        <is>
          <t>% de tu ahorro que estás invirtiendo</t>
        </is>
      </c>
      <c r="B27" s="120">
        <f>Objetivos!B15</f>
        <v>0.849310159469629</v>
      </c>
      <c r="C27" s="102" t="inlineStr">
        <is>
          <t>Sin el plan de pensiones</t>
        </is>
      </c>
    </row>
    <row r="28">
      <c r="A28" s="114" t="inlineStr">
        <is>
          <t>Dejas de aportar en</t>
        </is>
      </c>
      <c r="B28" s="121">
        <f>Objetivos!B12</f>
        <v>2058</v>
      </c>
      <c r="C28" s="102" t="inlineStr">
        <is>
          <t>El año de tu jubilación</t>
        </is>
      </c>
    </row>
    <row r="29">
      <c r="A29" s="114" t="inlineStr">
        <is>
          <t>Patrimonio neto al jubilarte</t>
        </is>
      </c>
      <c r="B29" s="116">
        <f>IFERROR(INDEX(Proyección!D:D,MATCH(Objetivos!B12,Proyección!A:A,0)),0)</f>
        <v>873897.370158985</v>
      </c>
      <c r="C29" s="102" t="inlineStr">
        <is>
          <t>Lo que tendrás, ya descontados los impuestos latentes</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47"/>
  <sheetViews>
    <sheetView tabSelected="0" workbookViewId="0">
      <pane ySplit="25" topLeftCell="A26" activePane="bottomLeft" state="frozen"/>
      <selection pane="bottomLeft" activeCell="A1" sqref="A1"/>
    </sheetView>
  </sheetViews>
  <sheetFormatPr baseColWidth="8" defaultRowHeight="15"/>
  <cols>
    <col width="30" customWidth="1" min="1" max="1"/>
    <col width="18" customWidth="1" min="2" max="2"/>
    <col width="12" customWidth="1" min="3" max="3"/>
    <col width="9" customWidth="1" min="4" max="4"/>
    <col width="9" customWidth="1" min="5" max="5"/>
    <col width="14" customWidth="1" min="6" max="6"/>
    <col width="15" customWidth="1" min="7" max="7"/>
    <col width="11" customWidth="1" min="8" max="8"/>
    <col width="17" customWidth="1" min="9" max="9"/>
    <col width="18" customWidth="1" min="10" max="10"/>
    <col width="17" customWidth="1" min="11" max="11"/>
    <col width="19" customWidth="1" min="12" max="12"/>
    <col width="55" customWidth="1" min="13" max="13"/>
    <col width="10" customWidth="1" min="14" max="14"/>
  </cols>
  <sheetData>
    <row r="1">
      <c r="A1" s="101" t="inlineStr">
        <is>
          <t>OBJETIVOS</t>
        </is>
      </c>
    </row>
    <row r="2">
      <c r="A2" s="102" t="inlineStr">
        <is>
          <t>Rellena solo las celdas con FONDO VERDE. Importes en euros de HOY y fechas en año real. Cada objetivo va asignado a una CARTERA, y cada cartera compone a su propio ritmo: el dinero a 5 años no puede ir donde el de 30.</t>
        </is>
      </c>
    </row>
    <row r="4">
      <c r="A4" s="105" t="inlineStr">
        <is>
          <t>PARÁMETROS</t>
        </is>
      </c>
      <c r="B4" s="105" t="n"/>
      <c r="C4" s="105" t="n"/>
    </row>
    <row r="5">
      <c r="A5" s="114" t="inlineStr">
        <is>
          <t>Año de partida</t>
        </is>
      </c>
      <c r="B5" s="122">
        <f>YEAR('Patrimonio Neto'!E1)</f>
        <v>2026</v>
      </c>
      <c r="C5" s="102" t="inlineStr">
        <is>
          <t>Sale de la fecha de «Patrimonio Neto». Es el año 0: los plazos se cuentan desde aquí</t>
        </is>
      </c>
    </row>
    <row r="6">
      <c r="A6" s="114" t="inlineStr">
        <is>
          <t>Inflación anual</t>
        </is>
      </c>
      <c r="B6" s="123">
        <f>Panel!B17</f>
        <v>0.025</v>
      </c>
      <c r="C6" s="102" t="inlineStr">
        <is>
          <t>Se toca en la pestaña «Panel»</t>
        </is>
      </c>
    </row>
    <row r="7">
      <c r="A7" s="114" t="inlineStr">
        <is>
          <t>Impuestos sobre la plusvalía</t>
        </is>
      </c>
      <c r="B7" s="123">
        <f>Panel!B18</f>
        <v>0.22</v>
      </c>
      <c r="C7" s="102" t="inlineStr">
        <is>
          <t>Se toca en la pestaña «Panel»</t>
        </is>
      </c>
    </row>
    <row r="8">
      <c r="A8" s="114" t="inlineStr">
        <is>
          <t>Rentabilidad MÍNIMA para no perder</t>
        </is>
      </c>
      <c r="B8" s="123">
        <f>B6/(1-B7)</f>
        <v>0.0320512820512821</v>
      </c>
      <c r="C8" s="102" t="inlineStr">
        <is>
          <t>Inflación ÷ (1 − impuestos). Es el SUELO: por debajo pierdes poder adquisitivo</t>
        </is>
      </c>
    </row>
    <row r="9">
      <c r="A9" s="114" t="inlineStr">
        <is>
          <t>Incremento anual de la aportación</t>
        </is>
      </c>
      <c r="B9" s="123">
        <f>Panel!B19</f>
        <v>0.02</v>
      </c>
      <c r="C9" s="102" t="inlineStr">
        <is>
          <t>Se toca en la pestaña «Panel»</t>
        </is>
      </c>
    </row>
    <row r="10">
      <c r="A10" s="114" t="inlineStr">
        <is>
          <t>Dejo de aportar dentro de (años)</t>
        </is>
      </c>
      <c r="B10" s="122">
        <f>IF(Panel!B20="","",Panel!B20)</f>
        <v/>
      </c>
      <c r="C10" s="102" t="inlineStr">
        <is>
          <t>Se toca en la pestaña «Panel»</t>
        </is>
      </c>
    </row>
    <row r="11">
      <c r="A11" s="114" t="inlineStr">
        <is>
          <t>→ Plazo que se aplica (años)</t>
        </is>
      </c>
      <c r="B11" s="122">
        <f>IF(B10="",IF(MIN(N26:N45)=9999,999,MIN(N26:N45)),B10)</f>
        <v>32</v>
      </c>
      <c r="C11" s="102" t="inlineStr">
        <is>
          <t>El que usa la proyección</t>
        </is>
      </c>
    </row>
    <row r="12">
      <c r="A12" s="114" t="inlineStr">
        <is>
          <t>→ …es decir, el año</t>
        </is>
      </c>
      <c r="B12" s="122">
        <f>B5+B11</f>
        <v>2058</v>
      </c>
      <c r="C12" s="102" t="inlineStr">
        <is>
          <t>El año en que dejas de aportar</t>
        </is>
      </c>
    </row>
    <row r="13">
      <c r="A13" s="114" t="inlineStr">
        <is>
          <t>Tu ahorro real (de «Ingresos - Gastos»)</t>
        </is>
      </c>
      <c r="B13" s="124">
        <f>'Ingresos - Gastos'!D99</f>
        <v>930.166666666667</v>
      </c>
      <c r="C13" s="102" t="inlineStr">
        <is>
          <t>Lo que de verdad te sobra cada mes según tus cuentas</t>
        </is>
      </c>
    </row>
    <row r="14">
      <c r="A14" s="114" t="inlineStr">
        <is>
          <t>→ Aportas al mes (todas las carteras)</t>
        </is>
      </c>
      <c r="B14" s="124">
        <f>SUM(E19:E21)</f>
        <v>940</v>
      </c>
      <c r="C14" s="102" t="inlineStr">
        <is>
          <t>Suma de la columna «aportación mensual»</t>
        </is>
      </c>
    </row>
    <row r="15">
      <c r="A15" s="114" t="inlineStr">
        <is>
          <t>→ % de tu ahorro que inviertes</t>
        </is>
      </c>
      <c r="B15" s="123">
        <f>IF(B13=0,0,(B14-E21)/B13)</f>
        <v>0.849310159469629</v>
      </c>
      <c r="C15" s="102" t="inlineStr">
        <is>
          <t>Sin el plan de pensiones, que ya está contado como gasto</t>
        </is>
      </c>
    </row>
    <row r="17">
      <c r="A17" s="105" t="inlineStr">
        <is>
          <t>TUS CARTERAS  (cada una compone a su ritmo)</t>
        </is>
      </c>
      <c r="B17" s="105" t="n"/>
      <c r="C17" s="105" t="n"/>
      <c r="D17" s="105" t="n"/>
      <c r="E17" s="105" t="n"/>
      <c r="F17" s="105" t="n"/>
      <c r="G17" s="105" t="n"/>
      <c r="H17" s="105" t="n"/>
    </row>
    <row r="18" ht="34" customHeight="1">
      <c r="A18" s="106" t="inlineStr">
        <is>
          <t>CARTERA</t>
        </is>
      </c>
      <c r="B18" s="106" t="inlineStr">
        <is>
          <t>RENTABILIDAD</t>
        </is>
      </c>
      <c r="C18" s="106" t="inlineStr">
        <is>
          <t>YA INVERTIDO
(€)</t>
        </is>
      </c>
      <c r="D18" s="106" t="inlineStr">
        <is>
          <t>APORTAS AL
EMPEZAR (€)</t>
        </is>
      </c>
      <c r="E18" s="106" t="inlineStr">
        <is>
          <t>APORTACIÓN
MENSUAL (€)</t>
        </is>
      </c>
      <c r="F18" s="106" t="inlineStr">
        <is>
          <t>→ NECESARIO
AL MES (€)</t>
        </is>
      </c>
      <c r="G18" s="106" t="inlineStr">
        <is>
          <t>ESTADO</t>
        </is>
      </c>
      <c r="H18" s="106" t="inlineStr">
        <is>
          <t>NOTAS</t>
        </is>
      </c>
    </row>
    <row r="19" ht="30" customHeight="1">
      <c r="A19" s="114" t="inlineStr">
        <is>
          <t>Cartera conservadora</t>
        </is>
      </c>
      <c r="B19" s="125">
        <f>Panel!B9</f>
        <v>0.035</v>
      </c>
      <c r="C19" s="126">
        <f>'Patrimonio Neto'!E12</f>
        <v>3000</v>
      </c>
      <c r="D19" s="109" t="n">
        <v>0</v>
      </c>
      <c r="E19" s="126">
        <f>Panel!C9</f>
        <v>380</v>
      </c>
      <c r="F19" s="127">
        <f>SUMIFS($L$26:$L$45,$B$26:$B$45,$A19)</f>
        <v>374.13261679151</v>
      </c>
      <c r="G19" s="128" t="str">
        <f>IF(F19=0,"— sin objetivos",IF(E19&gt;=F19,"✓ cubierta","⚠ faltan "&amp;TEXT(F19-E19,"#,##0")&amp;" €/mes"))</f>
        <v>✓ cubierta</v>
      </c>
      <c r="H19" s="129" t="inlineStr">
        <is>
          <t>EJEMPLO. Mezcla con poca renta variable, para objetivos a menos de ~10 años. La rentabilidad es un SUPUESTO para jugar, no una promesa: pon la de tu producto</t>
        </is>
      </c>
    </row>
    <row r="20" ht="30" customHeight="1">
      <c r="A20" s="114" t="inlineStr">
        <is>
          <t>Cartera indexada global</t>
        </is>
      </c>
      <c r="B20" s="125">
        <f>Panel!B10</f>
        <v>0.06</v>
      </c>
      <c r="C20" s="126">
        <f>'Patrimonio Neto'!E13</f>
        <v>18000</v>
      </c>
      <c r="D20" s="109" t="n">
        <v>0</v>
      </c>
      <c r="E20" s="126">
        <f>Panel!C10</f>
        <v>410</v>
      </c>
      <c r="F20" s="127">
        <f>SUMIFS($L$26:$L$45,$B$26:$B$45,$A20)</f>
        <v>404.206728703411</v>
      </c>
      <c r="G20" s="128" t="str">
        <f>IF(F20=0,"— sin objetivos",IF(E20&gt;=F20,"✓ cubierta","⚠ faltan "&amp;TEXT(F20-E20,"#,##0")&amp;" €/mes"))</f>
        <v>✓ cubierta</v>
      </c>
      <c r="H20" s="129" t="inlineStr">
        <is>
          <t>EJEMPLO. 100% renta variable global indexada, para objetivos a 15+ años. Puede caer un 20-30% en un mal año: por eso no se usa para lo cercano. La rentabilidad es un SUPUESTO</t>
        </is>
      </c>
    </row>
    <row r="21" ht="30" customHeight="1">
      <c r="A21" s="114" t="inlineStr">
        <is>
          <t>Plan de pensiones</t>
        </is>
      </c>
      <c r="B21" s="125">
        <f>Panel!B11</f>
        <v>0.05</v>
      </c>
      <c r="C21" s="126">
        <f>'Patrimonio Neto'!E14</f>
        <v>9000</v>
      </c>
      <c r="D21" s="109" t="n">
        <v>0</v>
      </c>
      <c r="E21" s="126">
        <f>Panel!C11</f>
        <v>150</v>
      </c>
      <c r="F21" s="127">
        <f>SUMIFS($L$26:$L$45,$B$26:$B$45,$A21)</f>
        <v>139.061691119728</v>
      </c>
      <c r="G21" s="128" t="str">
        <f>IF(F21=0,"— sin objetivos",IF(E21&gt;=F21,"✓ cubierta","⚠ faltan "&amp;TEXT(F21-E21,"#,##0")&amp;" €/mes"))</f>
        <v>✓ cubierta</v>
      </c>
      <c r="H21" s="129" t="inlineStr">
        <is>
          <t>EJEMPLO. La aportación mensual sale sola de «Ingresos - Gastos» (fila del plan de pensiones). La rentabilidad es un SUPUESTO</t>
        </is>
      </c>
    </row>
    <row r="22">
      <c r="A22" s="130" t="inlineStr">
        <is>
          <t>TOTAL</t>
        </is>
      </c>
      <c r="B22" s="130" t="n"/>
      <c r="C22" s="131">
        <f>SUM(C19:C21)</f>
        <v>30000</v>
      </c>
      <c r="D22" s="131">
        <f>SUM(D19:D21)</f>
        <v>0</v>
      </c>
      <c r="E22" s="131">
        <f>SUM(E19:E21)</f>
        <v>940</v>
      </c>
      <c r="F22" s="131">
        <f>SUM(F19:F21)</f>
        <v>917.401036614649</v>
      </c>
      <c r="G22" s="130" t="n"/>
      <c r="H22" s="130" t="n"/>
    </row>
    <row r="24">
      <c r="A24" s="105" t="inlineStr">
        <is>
          <t>TUS OBJETIVOS</t>
        </is>
      </c>
      <c r="B24" s="105" t="n"/>
      <c r="C24" s="105" t="n"/>
      <c r="D24" s="105" t="n"/>
      <c r="E24" s="105" t="n"/>
      <c r="F24" s="105" t="n"/>
      <c r="G24" s="105" t="n"/>
      <c r="H24" s="105" t="n"/>
      <c r="I24" s="105" t="n"/>
      <c r="J24" s="105" t="n"/>
      <c r="K24" s="105" t="n"/>
      <c r="L24" s="105" t="n"/>
      <c r="M24" s="105" t="n"/>
    </row>
    <row r="25" ht="34" customHeight="1">
      <c r="A25" s="106" t="inlineStr">
        <is>
          <t>OBJETIVO</t>
        </is>
      </c>
      <c r="B25" s="106" t="inlineStr">
        <is>
          <t>CARTERA</t>
        </is>
      </c>
      <c r="C25" s="106" t="inlineStr">
        <is>
          <t>TIPO</t>
        </is>
      </c>
      <c r="D25" s="106" t="inlineStr">
        <is>
          <t>AÑO</t>
        </is>
      </c>
      <c r="E25" s="106" t="inlineStr">
        <is>
          <t>DENTRO
DE</t>
        </is>
      </c>
      <c r="F25" s="106" t="inlineStr">
        <is>
          <t>IMPORTE HOY
(€)</t>
        </is>
      </c>
      <c r="G25" s="106" t="inlineStr">
        <is>
          <t>RENTA MENSUAL
HOY (€)</t>
        </is>
      </c>
      <c r="H25" s="106" t="inlineStr">
        <is>
          <t>AÑOS DE
CONSUMO</t>
        </is>
      </c>
      <c r="I25" s="106" t="inlineStr">
        <is>
          <t>TOTAL A RETIRAR
(€ de su año)</t>
        </is>
      </c>
      <c r="J25" s="106" t="inlineStr">
        <is>
          <t>CAPITAL NECESARIO
AL LLEGAR (€)</t>
        </is>
      </c>
      <c r="K25" s="106" t="inlineStr">
        <is>
          <t>SI LO PAGAS HOY
DE GOLPE (€)</t>
        </is>
      </c>
      <c r="L25" s="106" t="inlineStr">
        <is>
          <t>APORTACIÓN MENSUAL
NECESARIA (€)</t>
        </is>
      </c>
      <c r="M25" s="106" t="inlineStr">
        <is>
          <t>NOTAS</t>
        </is>
      </c>
      <c r="N25" s="106" t="inlineStr">
        <is>
          <t>aux:
jubilación</t>
        </is>
      </c>
    </row>
    <row r="26">
      <c r="A26" s="132" t="inlineStr">
        <is>
          <t>Cambio de coche</t>
        </is>
      </c>
      <c r="B26" s="133" t="inlineStr">
        <is>
          <t>Cartera conservadora</t>
        </is>
      </c>
      <c r="C26" s="134" t="inlineStr">
        <is>
          <t>Único</t>
        </is>
      </c>
      <c r="D26" s="135" t="n">
        <v>2032</v>
      </c>
      <c r="E26" s="136">
        <f>IF($C26="",0,D26-$B$5)</f>
        <v>6</v>
      </c>
      <c r="F26" s="137" t="n">
        <v>12000</v>
      </c>
      <c r="G26" s="137" t="n"/>
      <c r="H26" s="135" t="n"/>
      <c r="I26" s="127">
        <f>IF($C26="","",IF(OR($C26="Renta",$C26="Jubilación"),G26*12*(1+$B$6)^E26*((1+$B$6)^H26-1)/$B$6,F26*(1+$B$6)^E26))</f>
        <v>13916.3210185547</v>
      </c>
      <c r="J26" s="126">
        <f>IF($C26="","",IF(OR($C26="Renta",$C26="Jubilación"),G26*12*(1+$B$6)^E26*IF(ABS($B$6-IFERROR(VLOOKUP($B26,$A$19:$B$21,2,FALSE),$B$8))&lt;0.0000001,H26,(1-((1+$B$6)/(1+IFERROR(VLOOKUP($B26,$A$19:$B$21,2,FALSE),$B$8)))^H26)/(1-(1+$B$6)/(1+IFERROR(VLOOKUP($B26,$A$19:$B$21,2,FALSE),$B$8)))),I26))</f>
        <v>13916.3210185547</v>
      </c>
      <c r="K26" s="127">
        <f>IF($C26="","",J26/(1+IFERROR(VLOOKUP($B26,$A$19:$B$21,2,FALSE),$B$8))^E26)</f>
        <v>11320.9361149878</v>
      </c>
      <c r="L26" s="127">
        <f>IF($C26="","",IF(E26&lt;=0,"",((J26*IFERROR(VLOOKUP($B26,$A$19:$B$21,2,FALSE),$B$8))/((1+IFERROR(VLOOKUP($B26,$A$19:$B$21,2,FALSE),$B$8))^E26-1))/12))</f>
        <v>177.048316759522</v>
      </c>
      <c r="M26" s="138" t="inlineStr">
        <is>
          <t>A 5 años no conviene tenerlo en 100% renta variable: una caída justo antes te obliga a vender en pérdidas</t>
        </is>
      </c>
      <c r="N26" s="139">
        <f>IF($C26="Jubilación",E26,9999)</f>
        <v>9999</v>
      </c>
    </row>
    <row r="27">
      <c r="A27" s="132" t="inlineStr">
        <is>
          <t>Cambio de coche</t>
        </is>
      </c>
      <c r="B27" s="133" t="inlineStr">
        <is>
          <t>Cartera conservadora</t>
        </is>
      </c>
      <c r="C27" s="134" t="inlineStr">
        <is>
          <t>Único</t>
        </is>
      </c>
      <c r="D27" s="135" t="n">
        <v>2042</v>
      </c>
      <c r="E27" s="136">
        <f>IF($C27="",0,D27-$B$5)</f>
        <v>16</v>
      </c>
      <c r="F27" s="137" t="n">
        <v>12000</v>
      </c>
      <c r="G27" s="137" t="n"/>
      <c r="H27" s="135" t="n"/>
      <c r="I27" s="127">
        <f>IF($C27="","",IF(OR($C27="Renta",$C27="Jubilación"),G27*12*(1+$B$6)^E27*((1+$B$6)^H27-1)/$B$6,F27*(1+$B$6)^E27))</f>
        <v>17814.0674479267</v>
      </c>
      <c r="J27" s="126">
        <f>IF($C27="","",IF(OR($C27="Renta",$C27="Jubilación"),G27*12*(1+$B$6)^E27*IF(ABS($B$6-IFERROR(VLOOKUP($B27,$A$19:$B$21,2,FALSE),$B$8))&lt;0.0000001,H27,(1-((1+$B$6)/(1+IFERROR(VLOOKUP($B27,$A$19:$B$21,2,FALSE),$B$8)))^H27)/(1-(1+$B$6)/(1+IFERROR(VLOOKUP($B27,$A$19:$B$21,2,FALSE),$B$8)))),I27))</f>
        <v>17814.0674479267</v>
      </c>
      <c r="K27" s="127">
        <f>IF($C27="","",J27/(1+IFERROR(VLOOKUP($B27,$A$19:$B$21,2,FALSE),$B$8))^E27)</f>
        <v>10273.4780089053</v>
      </c>
      <c r="L27" s="127">
        <f>IF($C27="","",IF(E27&lt;=0,"",((J27*IFERROR(VLOOKUP($B27,$A$19:$B$21,2,FALSE),$B$8))/((1+IFERROR(VLOOKUP($B27,$A$19:$B$21,2,FALSE),$B$8))^E27-1))/12))</f>
        <v>70.7883991026055</v>
      </c>
      <c r="M27" s="138" t="inlineStr"/>
      <c r="N27" s="139">
        <f>IF($C27="Jubilación",E27,9999)</f>
        <v>9999</v>
      </c>
    </row>
    <row r="28">
      <c r="A28" s="132" t="inlineStr">
        <is>
          <t>Cambio de coche</t>
        </is>
      </c>
      <c r="B28" s="133" t="inlineStr">
        <is>
          <t>Cartera conservadora</t>
        </is>
      </c>
      <c r="C28" s="134" t="inlineStr">
        <is>
          <t>Único</t>
        </is>
      </c>
      <c r="D28" s="135" t="n">
        <v>2052</v>
      </c>
      <c r="E28" s="136">
        <f>IF($C28="",0,D28-$B$5)</f>
        <v>26</v>
      </c>
      <c r="F28" s="137" t="n">
        <v>12000</v>
      </c>
      <c r="G28" s="137" t="n"/>
      <c r="H28" s="135" t="n"/>
      <c r="I28" s="127">
        <f>IF($C28="","",IF(OR($C28="Renta",$C28="Jubilación"),G28*12*(1+$B$6)^E28*((1+$B$6)^H28-1)/$B$6,F28*(1+$B$6)^E28))</f>
        <v>22803.5124093625</v>
      </c>
      <c r="J28" s="126">
        <f>IF($C28="","",IF(OR($C28="Renta",$C28="Jubilación"),G28*12*(1+$B$6)^E28*IF(ABS($B$6-IFERROR(VLOOKUP($B28,$A$19:$B$21,2,FALSE),$B$8))&lt;0.0000001,H28,(1-((1+$B$6)/(1+IFERROR(VLOOKUP($B28,$A$19:$B$21,2,FALSE),$B$8)))^H28)/(1-(1+$B$6)/(1+IFERROR(VLOOKUP($B28,$A$19:$B$21,2,FALSE),$B$8)))),I28))</f>
        <v>22803.5124093625</v>
      </c>
      <c r="K28" s="127">
        <f>IF($C28="","",J28/(1+IFERROR(VLOOKUP($B28,$A$19:$B$21,2,FALSE),$B$8))^E28)</f>
        <v>9322.93489932614</v>
      </c>
      <c r="L28" s="127">
        <f>IF($C28="","",IF(E28&lt;=0,"",((J28*IFERROR(VLOOKUP($B28,$A$19:$B$21,2,FALSE),$B$8))/((1+IFERROR(VLOOKUP($B28,$A$19:$B$21,2,FALSE),$B$8))^E28-1))/12))</f>
        <v>45.9973379778947</v>
      </c>
      <c r="M28" s="138" t="inlineStr"/>
      <c r="N28" s="139">
        <f>IF($C28="Jubilación",E28,9999)</f>
        <v>9999</v>
      </c>
    </row>
    <row r="29">
      <c r="A29" s="132" t="inlineStr">
        <is>
          <t>Reforma de la cocina</t>
        </is>
      </c>
      <c r="B29" s="133" t="inlineStr">
        <is>
          <t>Cartera conservadora</t>
        </is>
      </c>
      <c r="C29" s="134" t="inlineStr">
        <is>
          <t>Único</t>
        </is>
      </c>
      <c r="D29" s="135" t="n">
        <v>2035</v>
      </c>
      <c r="E29" s="136">
        <f>IF($C29="",0,D29-$B$5)</f>
        <v>9</v>
      </c>
      <c r="F29" s="137" t="n">
        <v>8000</v>
      </c>
      <c r="G29" s="137" t="n"/>
      <c r="H29" s="135" t="n"/>
      <c r="I29" s="127">
        <f>IF($C29="","",IF(OR($C29="Renta",$C29="Jubilación"),G29*12*(1+$B$6)^E29*((1+$B$6)^H29-1)/$B$6,F29*(1+$B$6)^E29))</f>
        <v>9990.90375958132</v>
      </c>
      <c r="J29" s="126">
        <f>IF($C29="","",IF(OR($C29="Renta",$C29="Jubilación"),G29*12*(1+$B$6)^E29*IF(ABS($B$6-IFERROR(VLOOKUP($B29,$A$19:$B$21,2,FALSE),$B$8))&lt;0.0000001,H29,(1-((1+$B$6)/(1+IFERROR(VLOOKUP($B29,$A$19:$B$21,2,FALSE),$B$8)))^H29)/(1-(1+$B$6)/(1+IFERROR(VLOOKUP($B29,$A$19:$B$21,2,FALSE),$B$8)))),I29))</f>
        <v>9990.90375958132</v>
      </c>
      <c r="K29" s="127">
        <f>IF($C29="","",J29/(1+IFERROR(VLOOKUP($B29,$A$19:$B$21,2,FALSE),$B$8))^E29)</f>
        <v>7330.63552857047</v>
      </c>
      <c r="L29" s="127">
        <f>IF($C29="","",IF(E29&lt;=0,"",((J29*IFERROR(VLOOKUP($B29,$A$19:$B$21,2,FALSE),$B$8))/((1+IFERROR(VLOOKUP($B29,$A$19:$B$21,2,FALSE),$B$8))^E29-1))/12))</f>
        <v>80.2985629514884</v>
      </c>
      <c r="M29" s="138" t="inlineStr"/>
      <c r="N29" s="139">
        <f>IF($C29="Jubilación",E29,9999)</f>
        <v>9999</v>
      </c>
    </row>
    <row r="30">
      <c r="A30" s="132" t="inlineStr">
        <is>
          <t>Universidad Leo — 1.º</t>
        </is>
      </c>
      <c r="B30" s="133" t="inlineStr">
        <is>
          <t>Cartera indexada global</t>
        </is>
      </c>
      <c r="C30" s="134" t="inlineStr">
        <is>
          <t>Único</t>
        </is>
      </c>
      <c r="D30" s="135" t="n">
        <v>2041</v>
      </c>
      <c r="E30" s="136">
        <f>IF($C30="",0,D30-$B$5)</f>
        <v>15</v>
      </c>
      <c r="F30" s="137" t="n">
        <v>6000</v>
      </c>
      <c r="G30" s="137" t="n"/>
      <c r="H30" s="135" t="n"/>
      <c r="I30" s="127">
        <f>IF($C30="","",IF(OR($C30="Renta",$C30="Jubilación"),G30*12*(1+$B$6)^E30*((1+$B$6)^H30-1)/$B$6,F30*(1+$B$6)^E30))</f>
        <v>8689.78899898866</v>
      </c>
      <c r="J30" s="126">
        <f>IF($C30="","",IF(OR($C30="Renta",$C30="Jubilación"),G30*12*(1+$B$6)^E30*IF(ABS($B$6-IFERROR(VLOOKUP($B30,$A$19:$B$21,2,FALSE),$B$8))&lt;0.0000001,H30,(1-((1+$B$6)/(1+IFERROR(VLOOKUP($B30,$A$19:$B$21,2,FALSE),$B$8)))^H30)/(1-(1+$B$6)/(1+IFERROR(VLOOKUP($B30,$A$19:$B$21,2,FALSE),$B$8)))),I30))</f>
        <v>8689.78899898866</v>
      </c>
      <c r="K30" s="127">
        <f>IF($C30="","",J30/(1+IFERROR(VLOOKUP($B30,$A$19:$B$21,2,FALSE),$B$8))^E30)</f>
        <v>3625.94533444203</v>
      </c>
      <c r="L30" s="127">
        <f>IF($C30="","",IF(E30&lt;=0,"",((J30*IFERROR(VLOOKUP($B30,$A$19:$B$21,2,FALSE),$B$8))/((1+IFERROR(VLOOKUP($B30,$A$19:$B$21,2,FALSE),$B$8))^E30-1))/12))</f>
        <v>31.1114461320852</v>
      </c>
      <c r="M30" s="138" t="inlineStr">
        <is>
          <t>Faltan 15 años: puede ir en la indexada. Cuando falten ~5, conviene pasarlo a la conservadora</t>
        </is>
      </c>
      <c r="N30" s="139">
        <f>IF($C30="Jubilación",E30,9999)</f>
        <v>9999</v>
      </c>
    </row>
    <row r="31">
      <c r="A31" s="132" t="inlineStr">
        <is>
          <t>Universidad Leo — 2.º</t>
        </is>
      </c>
      <c r="B31" s="133" t="inlineStr">
        <is>
          <t>Cartera indexada global</t>
        </is>
      </c>
      <c r="C31" s="134" t="inlineStr">
        <is>
          <t>Único</t>
        </is>
      </c>
      <c r="D31" s="135" t="n">
        <v>2042</v>
      </c>
      <c r="E31" s="136">
        <f>IF($C31="",0,D31-$B$5)</f>
        <v>16</v>
      </c>
      <c r="F31" s="137" t="n">
        <v>6000</v>
      </c>
      <c r="G31" s="137" t="n"/>
      <c r="H31" s="135" t="n"/>
      <c r="I31" s="127">
        <f>IF($C31="","",IF(OR($C31="Renta",$C31="Jubilación"),G31*12*(1+$B$6)^E31*((1+$B$6)^H31-1)/$B$6,F31*(1+$B$6)^E31))</f>
        <v>8907.03372396337</v>
      </c>
      <c r="J31" s="126">
        <f>IF($C31="","",IF(OR($C31="Renta",$C31="Jubilación"),G31*12*(1+$B$6)^E31*IF(ABS($B$6-IFERROR(VLOOKUP($B31,$A$19:$B$21,2,FALSE),$B$8))&lt;0.0000001,H31,(1-((1+$B$6)/(1+IFERROR(VLOOKUP($B31,$A$19:$B$21,2,FALSE),$B$8)))^H31)/(1-(1+$B$6)/(1+IFERROR(VLOOKUP($B31,$A$19:$B$21,2,FALSE),$B$8)))),I31))</f>
        <v>8907.03372396337</v>
      </c>
      <c r="K31" s="127">
        <f>IF($C31="","",J31/(1+IFERROR(VLOOKUP($B31,$A$19:$B$21,2,FALSE),$B$8))^E31)</f>
        <v>3506.22072434253</v>
      </c>
      <c r="L31" s="127">
        <f>IF($C31="","",IF(E31&lt;=0,"",((J31*IFERROR(VLOOKUP($B31,$A$19:$B$21,2,FALSE),$B$8))/((1+IFERROR(VLOOKUP($B31,$A$19:$B$21,2,FALSE),$B$8))^E31-1))/12))</f>
        <v>28.9123380475964</v>
      </c>
      <c r="M31" s="138" t="inlineStr"/>
      <c r="N31" s="139">
        <f>IF($C31="Jubilación",E31,9999)</f>
        <v>9999</v>
      </c>
    </row>
    <row r="32">
      <c r="A32" s="132" t="inlineStr">
        <is>
          <t>Universidad Leo — 3.º</t>
        </is>
      </c>
      <c r="B32" s="133" t="inlineStr">
        <is>
          <t>Cartera indexada global</t>
        </is>
      </c>
      <c r="C32" s="134" t="inlineStr">
        <is>
          <t>Único</t>
        </is>
      </c>
      <c r="D32" s="135" t="n">
        <v>2043</v>
      </c>
      <c r="E32" s="136">
        <f>IF($C32="",0,D32-$B$5)</f>
        <v>17</v>
      </c>
      <c r="F32" s="137" t="n">
        <v>6000</v>
      </c>
      <c r="G32" s="137" t="n"/>
      <c r="H32" s="135" t="n"/>
      <c r="I32" s="127">
        <f>IF($C32="","",IF(OR($C32="Renta",$C32="Jubilación"),G32*12*(1+$B$6)^E32*((1+$B$6)^H32-1)/$B$6,F32*(1+$B$6)^E32))</f>
        <v>9129.70956706246</v>
      </c>
      <c r="J32" s="126">
        <f>IF($C32="","",IF(OR($C32="Renta",$C32="Jubilación"),G32*12*(1+$B$6)^E32*IF(ABS($B$6-IFERROR(VLOOKUP($B32,$A$19:$B$21,2,FALSE),$B$8))&lt;0.0000001,H32,(1-((1+$B$6)/(1+IFERROR(VLOOKUP($B32,$A$19:$B$21,2,FALSE),$B$8)))^H32)/(1-(1+$B$6)/(1+IFERROR(VLOOKUP($B32,$A$19:$B$21,2,FALSE),$B$8)))),I32))</f>
        <v>9129.70956706246</v>
      </c>
      <c r="K32" s="127">
        <f>IF($C32="","",J32/(1+IFERROR(VLOOKUP($B32,$A$19:$B$21,2,FALSE),$B$8))^E32)</f>
        <v>3390.44928533122</v>
      </c>
      <c r="L32" s="127">
        <f>IF($C32="","",IF(E32&lt;=0,"",((J32*IFERROR(VLOOKUP($B32,$A$19:$B$21,2,FALSE),$B$8))/((1+IFERROR(VLOOKUP($B32,$A$19:$B$21,2,FALSE),$B$8))^E32-1))/12))</f>
        <v>26.9667306912864</v>
      </c>
      <c r="M32" s="138" t="inlineStr"/>
      <c r="N32" s="139">
        <f>IF($C32="Jubilación",E32,9999)</f>
        <v>9999</v>
      </c>
    </row>
    <row r="33">
      <c r="A33" s="132" t="inlineStr">
        <is>
          <t>Universidad Leo — 4.º</t>
        </is>
      </c>
      <c r="B33" s="133" t="inlineStr">
        <is>
          <t>Cartera indexada global</t>
        </is>
      </c>
      <c r="C33" s="134" t="inlineStr">
        <is>
          <t>Único</t>
        </is>
      </c>
      <c r="D33" s="135" t="n">
        <v>2044</v>
      </c>
      <c r="E33" s="136">
        <f>IF($C33="",0,D33-$B$5)</f>
        <v>18</v>
      </c>
      <c r="F33" s="137" t="n">
        <v>6000</v>
      </c>
      <c r="G33" s="137" t="n"/>
      <c r="H33" s="135" t="n"/>
      <c r="I33" s="127">
        <f>IF($C33="","",IF(OR($C33="Renta",$C33="Jubilación"),G33*12*(1+$B$6)^E33*((1+$B$6)^H33-1)/$B$6,F33*(1+$B$6)^E33))</f>
        <v>9357.95230623902</v>
      </c>
      <c r="J33" s="126">
        <f>IF($C33="","",IF(OR($C33="Renta",$C33="Jubilación"),G33*12*(1+$B$6)^E33*IF(ABS($B$6-IFERROR(VLOOKUP($B33,$A$19:$B$21,2,FALSE),$B$8))&lt;0.0000001,H33,(1-((1+$B$6)/(1+IFERROR(VLOOKUP($B33,$A$19:$B$21,2,FALSE),$B$8)))^H33)/(1-(1+$B$6)/(1+IFERROR(VLOOKUP($B33,$A$19:$B$21,2,FALSE),$B$8)))),I33))</f>
        <v>9357.95230623902</v>
      </c>
      <c r="K33" s="127">
        <f>IF($C33="","",J33/(1+IFERROR(VLOOKUP($B33,$A$19:$B$21,2,FALSE),$B$8))^E33)</f>
        <v>3278.50048817406</v>
      </c>
      <c r="L33" s="127">
        <f>IF($C33="","",IF(E33&lt;=0,"",((J33*IFERROR(VLOOKUP($B33,$A$19:$B$21,2,FALSE),$B$8))/((1+IFERROR(VLOOKUP($B33,$A$19:$B$21,2,FALSE),$B$8))^E33-1))/12))</f>
        <v>25.2325802740545</v>
      </c>
      <c r="M33" s="138" t="inlineStr"/>
      <c r="N33" s="139">
        <f>IF($C33="Jubilación",E33,9999)</f>
        <v>9999</v>
      </c>
    </row>
    <row r="34">
      <c r="A34" s="132" t="inlineStr">
        <is>
          <t>Jubilación</t>
        </is>
      </c>
      <c r="B34" s="133" t="inlineStr">
        <is>
          <t>Cartera indexada global</t>
        </is>
      </c>
      <c r="C34" s="134" t="inlineStr">
        <is>
          <t>Jubilación</t>
        </is>
      </c>
      <c r="D34" s="135" t="n">
        <v>2058</v>
      </c>
      <c r="E34" s="136">
        <f>IF($C34="",0,D34-$B$5)</f>
        <v>32</v>
      </c>
      <c r="F34" s="137" t="n"/>
      <c r="G34" s="137" t="n">
        <v>700</v>
      </c>
      <c r="H34" s="135" t="n">
        <v>25</v>
      </c>
      <c r="I34" s="127">
        <f>IF($C34="","",IF(OR($C34="Renta",$C34="Jubilación"),G34*12*(1+$B$6)^E34*((1+$B$6)^H34-1)/$B$6,F34*(1+$B$6)^E34))</f>
        <v>632313.437665587</v>
      </c>
      <c r="J34" s="126">
        <f>IF($C34="","",IF(OR($C34="Renta",$C34="Jubilación"),G34*12*(1+$B$6)^E34*IF(ABS($B$6-IFERROR(VLOOKUP($B34,$A$19:$B$21,2,FALSE),$B$8))&lt;0.0000001,H34,(1-((1+$B$6)/(1+IFERROR(VLOOKUP($B34,$A$19:$B$21,2,FALSE),$B$8)))^H34)/(1-(1+$B$6)/(1+IFERROR(VLOOKUP($B34,$A$19:$B$21,2,FALSE),$B$8)))),I34))</f>
        <v>318459.931715161</v>
      </c>
      <c r="K34" s="127">
        <f>IF($C34="","",J34/(1+IFERROR(VLOOKUP($B34,$A$19:$B$21,2,FALSE),$B$8))^E34)</f>
        <v>49347.7219657515</v>
      </c>
      <c r="L34" s="127">
        <f>IF($C34="","",IF(E34&lt;=0,"",((J34*IFERROR(VLOOKUP($B34,$A$19:$B$21,2,FALSE),$B$8))/((1+IFERROR(VLOOKUP($B34,$A$19:$B$21,2,FALSE),$B$8))^E34-1))/12))</f>
        <v>291.983633558389</v>
      </c>
      <c r="M34" s="138" t="inlineStr">
        <is>
          <t>COMPLEMENTO a la pensión pública, no el total. El tipo «Jubilación» marca además el año en que dejas de aportar</t>
        </is>
      </c>
      <c r="N34" s="139">
        <f>IF($C34="Jubilación",E34,9999)</f>
        <v>32</v>
      </c>
    </row>
    <row r="35">
      <c r="A35" s="132" t="inlineStr">
        <is>
          <t>Jubilación — parte del plan de pensiones</t>
        </is>
      </c>
      <c r="B35" s="133" t="inlineStr">
        <is>
          <t>Plan de pensiones</t>
        </is>
      </c>
      <c r="C35" s="134" t="inlineStr">
        <is>
          <t>Jubilación</t>
        </is>
      </c>
      <c r="D35" s="135" t="n">
        <v>2058</v>
      </c>
      <c r="E35" s="136">
        <f>IF($C35="",0,D35-$B$5)</f>
        <v>32</v>
      </c>
      <c r="F35" s="137" t="n"/>
      <c r="G35" s="137" t="n">
        <v>250</v>
      </c>
      <c r="H35" s="135" t="n">
        <v>25</v>
      </c>
      <c r="I35" s="127">
        <f>IF($C35="","",IF(OR($C35="Renta",$C35="Jubilación"),G35*12*(1+$B$6)^E35*((1+$B$6)^H35-1)/$B$6,F35*(1+$B$6)^E35))</f>
        <v>225826.22773771</v>
      </c>
      <c r="J35" s="126">
        <f>IF($C35="","",IF(OR($C35="Renta",$C35="Jubilación"),G35*12*(1+$B$6)^E35*IF(ABS($B$6-IFERROR(VLOOKUP($B35,$A$19:$B$21,2,FALSE),$B$8))&lt;0.0000001,H35,(1-((1+$B$6)/(1+IFERROR(VLOOKUP($B35,$A$19:$B$21,2,FALSE),$B$8)))^H35)/(1-(1+$B$6)/(1+IFERROR(VLOOKUP($B35,$A$19:$B$21,2,FALSE),$B$8)))),I35))</f>
        <v>125654.190621794</v>
      </c>
      <c r="K35" s="127">
        <f>IF($C35="","",J35/(1+IFERROR(VLOOKUP($B35,$A$19:$B$21,2,FALSE),$B$8))^E35)</f>
        <v>26370.563300669</v>
      </c>
      <c r="L35" s="127">
        <f>IF($C35="","",IF(E35&lt;=0,"",((J35*IFERROR(VLOOKUP($B35,$A$19:$B$21,2,FALSE),$B$8))/((1+IFERROR(VLOOKUP($B35,$A$19:$B$21,2,FALSE),$B$8))^E35-1))/12))</f>
        <v>139.061691119728</v>
      </c>
      <c r="M35" s="138" t="inlineStr">
        <is>
          <t>La otra parte del complemento, pagada desde el plan de pensiones</t>
        </is>
      </c>
      <c r="N35" s="139">
        <f>IF($C35="Jubilación",E35,9999)</f>
        <v>32</v>
      </c>
    </row>
    <row r="36">
      <c r="A36" s="132" t="n"/>
      <c r="B36" s="133" t="n"/>
      <c r="C36" s="134" t="n"/>
      <c r="D36" s="135" t="n"/>
      <c r="E36" s="136">
        <f>IF($C36="",0,D36-$B$5)</f>
        <v>0</v>
      </c>
      <c r="F36" s="137" t="n"/>
      <c r="G36" s="137" t="n"/>
      <c r="H36" s="135" t="n"/>
      <c r="I36" s="127">
        <f>IF($C36="","",IF(OR($C36="Renta",$C36="Jubilación"),G36*12*(1+$B$6)^E36*((1+$B$6)^H36-1)/$B$6,F36*(1+$B$6)^E36))</f>
        <v/>
      </c>
      <c r="J36" s="126">
        <f>IF($C36="","",IF(OR($C36="Renta",$C36="Jubilación"),G36*12*(1+$B$6)^E36*IF(ABS($B$6-IFERROR(VLOOKUP($B36,$A$19:$B$21,2,FALSE),$B$8))&lt;0.0000001,H36,(1-((1+$B$6)/(1+IFERROR(VLOOKUP($B36,$A$19:$B$21,2,FALSE),$B$8)))^H36)/(1-(1+$B$6)/(1+IFERROR(VLOOKUP($B36,$A$19:$B$21,2,FALSE),$B$8)))),I36))</f>
        <v/>
      </c>
      <c r="K36" s="127">
        <f>IF($C36="","",J36/(1+IFERROR(VLOOKUP($B36,$A$19:$B$21,2,FALSE),$B$8))^E36)</f>
        <v/>
      </c>
      <c r="L36" s="127">
        <f>IF($C36="","",IF(E36&lt;=0,"",((J36*IFERROR(VLOOKUP($B36,$A$19:$B$21,2,FALSE),$B$8))/((1+IFERROR(VLOOKUP($B36,$A$19:$B$21,2,FALSE),$B$8))^E36-1))/12))</f>
        <v/>
      </c>
      <c r="M36" s="138" t="n"/>
      <c r="N36" s="139">
        <f>IF($C36="Jubilación",E36,9999)</f>
        <v>9999</v>
      </c>
    </row>
    <row r="37">
      <c r="A37" s="132" t="n"/>
      <c r="B37" s="133" t="n"/>
      <c r="C37" s="134" t="n"/>
      <c r="D37" s="135" t="n"/>
      <c r="E37" s="136">
        <f>IF($C37="",0,D37-$B$5)</f>
        <v>0</v>
      </c>
      <c r="F37" s="137" t="n"/>
      <c r="G37" s="137" t="n"/>
      <c r="H37" s="135" t="n"/>
      <c r="I37" s="127">
        <f>IF($C37="","",IF(OR($C37="Renta",$C37="Jubilación"),G37*12*(1+$B$6)^E37*((1+$B$6)^H37-1)/$B$6,F37*(1+$B$6)^E37))</f>
        <v/>
      </c>
      <c r="J37" s="126">
        <f>IF($C37="","",IF(OR($C37="Renta",$C37="Jubilación"),G37*12*(1+$B$6)^E37*IF(ABS($B$6-IFERROR(VLOOKUP($B37,$A$19:$B$21,2,FALSE),$B$8))&lt;0.0000001,H37,(1-((1+$B$6)/(1+IFERROR(VLOOKUP($B37,$A$19:$B$21,2,FALSE),$B$8)))^H37)/(1-(1+$B$6)/(1+IFERROR(VLOOKUP($B37,$A$19:$B$21,2,FALSE),$B$8)))),I37))</f>
        <v/>
      </c>
      <c r="K37" s="127">
        <f>IF($C37="","",J37/(1+IFERROR(VLOOKUP($B37,$A$19:$B$21,2,FALSE),$B$8))^E37)</f>
        <v/>
      </c>
      <c r="L37" s="127">
        <f>IF($C37="","",IF(E37&lt;=0,"",((J37*IFERROR(VLOOKUP($B37,$A$19:$B$21,2,FALSE),$B$8))/((1+IFERROR(VLOOKUP($B37,$A$19:$B$21,2,FALSE),$B$8))^E37-1))/12))</f>
        <v/>
      </c>
      <c r="M37" s="138" t="n"/>
      <c r="N37" s="139">
        <f>IF($C37="Jubilación",E37,9999)</f>
        <v>9999</v>
      </c>
    </row>
    <row r="38">
      <c r="A38" s="132" t="n"/>
      <c r="B38" s="133" t="n"/>
      <c r="C38" s="134" t="n"/>
      <c r="D38" s="135" t="n"/>
      <c r="E38" s="136">
        <f>IF($C38="",0,D38-$B$5)</f>
        <v>0</v>
      </c>
      <c r="F38" s="137" t="n"/>
      <c r="G38" s="137" t="n"/>
      <c r="H38" s="135" t="n"/>
      <c r="I38" s="127">
        <f>IF($C38="","",IF(OR($C38="Renta",$C38="Jubilación"),G38*12*(1+$B$6)^E38*((1+$B$6)^H38-1)/$B$6,F38*(1+$B$6)^E38))</f>
        <v/>
      </c>
      <c r="J38" s="126">
        <f>IF($C38="","",IF(OR($C38="Renta",$C38="Jubilación"),G38*12*(1+$B$6)^E38*IF(ABS($B$6-IFERROR(VLOOKUP($B38,$A$19:$B$21,2,FALSE),$B$8))&lt;0.0000001,H38,(1-((1+$B$6)/(1+IFERROR(VLOOKUP($B38,$A$19:$B$21,2,FALSE),$B$8)))^H38)/(1-(1+$B$6)/(1+IFERROR(VLOOKUP($B38,$A$19:$B$21,2,FALSE),$B$8)))),I38))</f>
        <v/>
      </c>
      <c r="K38" s="127">
        <f>IF($C38="","",J38/(1+IFERROR(VLOOKUP($B38,$A$19:$B$21,2,FALSE),$B$8))^E38)</f>
        <v/>
      </c>
      <c r="L38" s="127">
        <f>IF($C38="","",IF(E38&lt;=0,"",((J38*IFERROR(VLOOKUP($B38,$A$19:$B$21,2,FALSE),$B$8))/((1+IFERROR(VLOOKUP($B38,$A$19:$B$21,2,FALSE),$B$8))^E38-1))/12))</f>
        <v/>
      </c>
      <c r="M38" s="138" t="n"/>
      <c r="N38" s="139">
        <f>IF($C38="Jubilación",E38,9999)</f>
        <v>9999</v>
      </c>
    </row>
    <row r="39">
      <c r="A39" s="132" t="n"/>
      <c r="B39" s="133" t="n"/>
      <c r="C39" s="134" t="n"/>
      <c r="D39" s="135" t="n"/>
      <c r="E39" s="136">
        <f>IF($C39="",0,D39-$B$5)</f>
        <v>0</v>
      </c>
      <c r="F39" s="137" t="n"/>
      <c r="G39" s="137" t="n"/>
      <c r="H39" s="135" t="n"/>
      <c r="I39" s="127">
        <f>IF($C39="","",IF(OR($C39="Renta",$C39="Jubilación"),G39*12*(1+$B$6)^E39*((1+$B$6)^H39-1)/$B$6,F39*(1+$B$6)^E39))</f>
        <v/>
      </c>
      <c r="J39" s="126">
        <f>IF($C39="","",IF(OR($C39="Renta",$C39="Jubilación"),G39*12*(1+$B$6)^E39*IF(ABS($B$6-IFERROR(VLOOKUP($B39,$A$19:$B$21,2,FALSE),$B$8))&lt;0.0000001,H39,(1-((1+$B$6)/(1+IFERROR(VLOOKUP($B39,$A$19:$B$21,2,FALSE),$B$8)))^H39)/(1-(1+$B$6)/(1+IFERROR(VLOOKUP($B39,$A$19:$B$21,2,FALSE),$B$8)))),I39))</f>
        <v/>
      </c>
      <c r="K39" s="127">
        <f>IF($C39="","",J39/(1+IFERROR(VLOOKUP($B39,$A$19:$B$21,2,FALSE),$B$8))^E39)</f>
        <v/>
      </c>
      <c r="L39" s="127">
        <f>IF($C39="","",IF(E39&lt;=0,"",((J39*IFERROR(VLOOKUP($B39,$A$19:$B$21,2,FALSE),$B$8))/((1+IFERROR(VLOOKUP($B39,$A$19:$B$21,2,FALSE),$B$8))^E39-1))/12))</f>
        <v/>
      </c>
      <c r="M39" s="138" t="n"/>
      <c r="N39" s="139">
        <f>IF($C39="Jubilación",E39,9999)</f>
        <v>9999</v>
      </c>
    </row>
    <row r="40">
      <c r="A40" s="132" t="n"/>
      <c r="B40" s="133" t="n"/>
      <c r="C40" s="134" t="n"/>
      <c r="D40" s="135" t="n"/>
      <c r="E40" s="136">
        <f>IF($C40="",0,D40-$B$5)</f>
        <v>0</v>
      </c>
      <c r="F40" s="137" t="n"/>
      <c r="G40" s="137" t="n"/>
      <c r="H40" s="135" t="n"/>
      <c r="I40" s="127">
        <f>IF($C40="","",IF(OR($C40="Renta",$C40="Jubilación"),G40*12*(1+$B$6)^E40*((1+$B$6)^H40-1)/$B$6,F40*(1+$B$6)^E40))</f>
        <v/>
      </c>
      <c r="J40" s="126">
        <f>IF($C40="","",IF(OR($C40="Renta",$C40="Jubilación"),G40*12*(1+$B$6)^E40*IF(ABS($B$6-IFERROR(VLOOKUP($B40,$A$19:$B$21,2,FALSE),$B$8))&lt;0.0000001,H40,(1-((1+$B$6)/(1+IFERROR(VLOOKUP($B40,$A$19:$B$21,2,FALSE),$B$8)))^H40)/(1-(1+$B$6)/(1+IFERROR(VLOOKUP($B40,$A$19:$B$21,2,FALSE),$B$8)))),I40))</f>
        <v/>
      </c>
      <c r="K40" s="127">
        <f>IF($C40="","",J40/(1+IFERROR(VLOOKUP($B40,$A$19:$B$21,2,FALSE),$B$8))^E40)</f>
        <v/>
      </c>
      <c r="L40" s="127">
        <f>IF($C40="","",IF(E40&lt;=0,"",((J40*IFERROR(VLOOKUP($B40,$A$19:$B$21,2,FALSE),$B$8))/((1+IFERROR(VLOOKUP($B40,$A$19:$B$21,2,FALSE),$B$8))^E40-1))/12))</f>
        <v/>
      </c>
      <c r="M40" s="138" t="n"/>
      <c r="N40" s="139">
        <f>IF($C40="Jubilación",E40,9999)</f>
        <v>9999</v>
      </c>
    </row>
    <row r="41">
      <c r="A41" s="132" t="n"/>
      <c r="B41" s="133" t="n"/>
      <c r="C41" s="134" t="n"/>
      <c r="D41" s="135" t="n"/>
      <c r="E41" s="136">
        <f>IF($C41="",0,D41-$B$5)</f>
        <v>0</v>
      </c>
      <c r="F41" s="137" t="n"/>
      <c r="G41" s="137" t="n"/>
      <c r="H41" s="135" t="n"/>
      <c r="I41" s="127">
        <f>IF($C41="","",IF(OR($C41="Renta",$C41="Jubilación"),G41*12*(1+$B$6)^E41*((1+$B$6)^H41-1)/$B$6,F41*(1+$B$6)^E41))</f>
        <v/>
      </c>
      <c r="J41" s="126">
        <f>IF($C41="","",IF(OR($C41="Renta",$C41="Jubilación"),G41*12*(1+$B$6)^E41*IF(ABS($B$6-IFERROR(VLOOKUP($B41,$A$19:$B$21,2,FALSE),$B$8))&lt;0.0000001,H41,(1-((1+$B$6)/(1+IFERROR(VLOOKUP($B41,$A$19:$B$21,2,FALSE),$B$8)))^H41)/(1-(1+$B$6)/(1+IFERROR(VLOOKUP($B41,$A$19:$B$21,2,FALSE),$B$8)))),I41))</f>
        <v/>
      </c>
      <c r="K41" s="127">
        <f>IF($C41="","",J41/(1+IFERROR(VLOOKUP($B41,$A$19:$B$21,2,FALSE),$B$8))^E41)</f>
        <v/>
      </c>
      <c r="L41" s="127">
        <f>IF($C41="","",IF(E41&lt;=0,"",((J41*IFERROR(VLOOKUP($B41,$A$19:$B$21,2,FALSE),$B$8))/((1+IFERROR(VLOOKUP($B41,$A$19:$B$21,2,FALSE),$B$8))^E41-1))/12))</f>
        <v/>
      </c>
      <c r="M41" s="138" t="n"/>
      <c r="N41" s="139">
        <f>IF($C41="Jubilación",E41,9999)</f>
        <v>9999</v>
      </c>
    </row>
    <row r="42">
      <c r="A42" s="132" t="n"/>
      <c r="B42" s="133" t="n"/>
      <c r="C42" s="134" t="n"/>
      <c r="D42" s="135" t="n"/>
      <c r="E42" s="136">
        <f>IF($C42="",0,D42-$B$5)</f>
        <v>0</v>
      </c>
      <c r="F42" s="137" t="n"/>
      <c r="G42" s="137" t="n"/>
      <c r="H42" s="135" t="n"/>
      <c r="I42" s="127">
        <f>IF($C42="","",IF(OR($C42="Renta",$C42="Jubilación"),G42*12*(1+$B$6)^E42*((1+$B$6)^H42-1)/$B$6,F42*(1+$B$6)^E42))</f>
        <v/>
      </c>
      <c r="J42" s="126">
        <f>IF($C42="","",IF(OR($C42="Renta",$C42="Jubilación"),G42*12*(1+$B$6)^E42*IF(ABS($B$6-IFERROR(VLOOKUP($B42,$A$19:$B$21,2,FALSE),$B$8))&lt;0.0000001,H42,(1-((1+$B$6)/(1+IFERROR(VLOOKUP($B42,$A$19:$B$21,2,FALSE),$B$8)))^H42)/(1-(1+$B$6)/(1+IFERROR(VLOOKUP($B42,$A$19:$B$21,2,FALSE),$B$8)))),I42))</f>
        <v/>
      </c>
      <c r="K42" s="127">
        <f>IF($C42="","",J42/(1+IFERROR(VLOOKUP($B42,$A$19:$B$21,2,FALSE),$B$8))^E42)</f>
        <v/>
      </c>
      <c r="L42" s="127">
        <f>IF($C42="","",IF(E42&lt;=0,"",((J42*IFERROR(VLOOKUP($B42,$A$19:$B$21,2,FALSE),$B$8))/((1+IFERROR(VLOOKUP($B42,$A$19:$B$21,2,FALSE),$B$8))^E42-1))/12))</f>
        <v/>
      </c>
      <c r="M42" s="138" t="n"/>
      <c r="N42" s="139">
        <f>IF($C42="Jubilación",E42,9999)</f>
        <v>9999</v>
      </c>
    </row>
    <row r="43">
      <c r="A43" s="132" t="n"/>
      <c r="B43" s="133" t="n"/>
      <c r="C43" s="134" t="n"/>
      <c r="D43" s="135" t="n"/>
      <c r="E43" s="136">
        <f>IF($C43="",0,D43-$B$5)</f>
        <v>0</v>
      </c>
      <c r="F43" s="137" t="n"/>
      <c r="G43" s="137" t="n"/>
      <c r="H43" s="135" t="n"/>
      <c r="I43" s="127">
        <f>IF($C43="","",IF(OR($C43="Renta",$C43="Jubilación"),G43*12*(1+$B$6)^E43*((1+$B$6)^H43-1)/$B$6,F43*(1+$B$6)^E43))</f>
        <v/>
      </c>
      <c r="J43" s="126">
        <f>IF($C43="","",IF(OR($C43="Renta",$C43="Jubilación"),G43*12*(1+$B$6)^E43*IF(ABS($B$6-IFERROR(VLOOKUP($B43,$A$19:$B$21,2,FALSE),$B$8))&lt;0.0000001,H43,(1-((1+$B$6)/(1+IFERROR(VLOOKUP($B43,$A$19:$B$21,2,FALSE),$B$8)))^H43)/(1-(1+$B$6)/(1+IFERROR(VLOOKUP($B43,$A$19:$B$21,2,FALSE),$B$8)))),I43))</f>
        <v/>
      </c>
      <c r="K43" s="127">
        <f>IF($C43="","",J43/(1+IFERROR(VLOOKUP($B43,$A$19:$B$21,2,FALSE),$B$8))^E43)</f>
        <v/>
      </c>
      <c r="L43" s="127">
        <f>IF($C43="","",IF(E43&lt;=0,"",((J43*IFERROR(VLOOKUP($B43,$A$19:$B$21,2,FALSE),$B$8))/((1+IFERROR(VLOOKUP($B43,$A$19:$B$21,2,FALSE),$B$8))^E43-1))/12))</f>
        <v/>
      </c>
      <c r="M43" s="138" t="n"/>
      <c r="N43" s="139">
        <f>IF($C43="Jubilación",E43,9999)</f>
        <v>9999</v>
      </c>
    </row>
    <row r="44">
      <c r="A44" s="132" t="n"/>
      <c r="B44" s="133" t="n"/>
      <c r="C44" s="134" t="n"/>
      <c r="D44" s="135" t="n"/>
      <c r="E44" s="136">
        <f>IF($C44="",0,D44-$B$5)</f>
        <v>0</v>
      </c>
      <c r="F44" s="137" t="n"/>
      <c r="G44" s="137" t="n"/>
      <c r="H44" s="135" t="n"/>
      <c r="I44" s="127">
        <f>IF($C44="","",IF(OR($C44="Renta",$C44="Jubilación"),G44*12*(1+$B$6)^E44*((1+$B$6)^H44-1)/$B$6,F44*(1+$B$6)^E44))</f>
        <v/>
      </c>
      <c r="J44" s="126">
        <f>IF($C44="","",IF(OR($C44="Renta",$C44="Jubilación"),G44*12*(1+$B$6)^E44*IF(ABS($B$6-IFERROR(VLOOKUP($B44,$A$19:$B$21,2,FALSE),$B$8))&lt;0.0000001,H44,(1-((1+$B$6)/(1+IFERROR(VLOOKUP($B44,$A$19:$B$21,2,FALSE),$B$8)))^H44)/(1-(1+$B$6)/(1+IFERROR(VLOOKUP($B44,$A$19:$B$21,2,FALSE),$B$8)))),I44))</f>
        <v/>
      </c>
      <c r="K44" s="127">
        <f>IF($C44="","",J44/(1+IFERROR(VLOOKUP($B44,$A$19:$B$21,2,FALSE),$B$8))^E44)</f>
        <v/>
      </c>
      <c r="L44" s="127">
        <f>IF($C44="","",IF(E44&lt;=0,"",((J44*IFERROR(VLOOKUP($B44,$A$19:$B$21,2,FALSE),$B$8))/((1+IFERROR(VLOOKUP($B44,$A$19:$B$21,2,FALSE),$B$8))^E44-1))/12))</f>
        <v/>
      </c>
      <c r="M44" s="138" t="n"/>
      <c r="N44" s="139">
        <f>IF($C44="Jubilación",E44,9999)</f>
        <v>9999</v>
      </c>
    </row>
    <row r="45">
      <c r="A45" s="132" t="n"/>
      <c r="B45" s="133" t="n"/>
      <c r="C45" s="134" t="n"/>
      <c r="D45" s="135" t="n"/>
      <c r="E45" s="136">
        <f>IF($C45="",0,D45-$B$5)</f>
        <v>0</v>
      </c>
      <c r="F45" s="137" t="n"/>
      <c r="G45" s="137" t="n"/>
      <c r="H45" s="135" t="n"/>
      <c r="I45" s="127">
        <f>IF($C45="","",IF(OR($C45="Renta",$C45="Jubilación"),G45*12*(1+$B$6)^E45*((1+$B$6)^H45-1)/$B$6,F45*(1+$B$6)^E45))</f>
        <v/>
      </c>
      <c r="J45" s="126">
        <f>IF($C45="","",IF(OR($C45="Renta",$C45="Jubilación"),G45*12*(1+$B$6)^E45*IF(ABS($B$6-IFERROR(VLOOKUP($B45,$A$19:$B$21,2,FALSE),$B$8))&lt;0.0000001,H45,(1-((1+$B$6)/(1+IFERROR(VLOOKUP($B45,$A$19:$B$21,2,FALSE),$B$8)))^H45)/(1-(1+$B$6)/(1+IFERROR(VLOOKUP($B45,$A$19:$B$21,2,FALSE),$B$8)))),I45))</f>
        <v/>
      </c>
      <c r="K45" s="127">
        <f>IF($C45="","",J45/(1+IFERROR(VLOOKUP($B45,$A$19:$B$21,2,FALSE),$B$8))^E45)</f>
        <v/>
      </c>
      <c r="L45" s="127">
        <f>IF($C45="","",IF(E45&lt;=0,"",((J45*IFERROR(VLOOKUP($B45,$A$19:$B$21,2,FALSE),$B$8))/((1+IFERROR(VLOOKUP($B45,$A$19:$B$21,2,FALSE),$B$8))^E45-1))/12))</f>
        <v/>
      </c>
      <c r="M45" s="138" t="n"/>
      <c r="N45" s="139">
        <f>IF($C45="Jubilación",E45,9999)</f>
        <v>9999</v>
      </c>
    </row>
    <row r="47">
      <c r="A47" s="112" t="inlineStr">
        <is>
          <t>TOTAL</t>
        </is>
      </c>
      <c r="B47" s="112" t="n"/>
      <c r="C47" s="112" t="n"/>
      <c r="D47" s="112" t="n"/>
      <c r="E47" s="112" t="n"/>
      <c r="F47" s="112" t="n"/>
      <c r="G47" s="112" t="n"/>
      <c r="H47" s="112" t="n"/>
      <c r="I47" s="140">
        <f>SUM(I26:I45)</f>
        <v>958748.954634976</v>
      </c>
      <c r="J47" s="140">
        <f>SUM(J26:J45)</f>
        <v>544723.411568634</v>
      </c>
      <c r="K47" s="140">
        <f>SUM(K26:K45)</f>
        <v>127767.3856505</v>
      </c>
      <c r="L47" s="140">
        <f>SUM(L26:L45)</f>
        <v>917.401036614649</v>
      </c>
      <c r="M47" s="112" t="n"/>
      <c r="N47" s="112" t="n"/>
    </row>
  </sheetData>
  <dataValidations count="2">
    <dataValidation sqref="B26 B27 B28 B29 B30 B31 B32 B33 B34 B35 B36 B37 B38 B39 B40 B41 B42 B43 B44 B45" showDropDown="0" showInputMessage="0" showErrorMessage="0" allowBlank="1" promptTitle="Cartera" prompt="A qué cartera va este objetivo. Cada una compone a su rentabilidad." type="list">
      <formula1>=$A$19:$A$21</formula1>
    </dataValidation>
    <dataValidation sqref="C26:C45" showDropDown="0" showInputMessage="0" showErrorMessage="0" allowBlank="1" promptTitle="Tipo de objetivo" prompt="Único = de golpe en su año.&#10;Renta = una cuota al año durante X años, y deja de descontar al terminar.&#10;Jubilación = igual que Renta, y además marca el año en que dejas de aportar." type="list">
      <formula1>"Único,Renta,Jubilación"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90"/>
  <sheetViews>
    <sheetView tabSelected="0" workbookViewId="0">
      <pane xSplit="6" ySplit="5" topLeftCell="G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15" customWidth="1" min="3" max="3"/>
    <col width="15"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s>
  <sheetData>
    <row r="1">
      <c r="A1" s="101" t="inlineStr">
        <is>
          <t>PROYECCIÓN POR CARTERAS</t>
        </is>
      </c>
    </row>
    <row r="2">
      <c r="A2" s="102" t="inlineStr">
        <is>
          <t>NO se edita nada aquí. Cada cartera es una bolsa independiente que compone a su propia rentabilidad; los objetivos rescatan de la suya. A la izquierda el total, a la derecha el detalle.</t>
        </is>
      </c>
    </row>
    <row r="3">
      <c r="A3" s="141" t="str">
        <f>IF(SUM(L6:L90)+SUM(R6:R90)+SUM(X6:X90)&lt;0.01,"✓ Todos los objetivos se pagan","⚠ NO LLEGAS: el primer objetivo que se queda sin pagar es en "&amp;MIN(SUMPRODUCT(MIN((L6:L90&gt;0.01)*A6:A90+(L6:L90&lt;=0.01)*999999)),SUMPRODUCT(MIN((R6:R90&gt;0.01)*A6:A90+(R6:R90&lt;=0.01)*999999)),SUMPRODUCT(MIN((X6:X90&gt;0.01)*A6:A90+(X6:X90&lt;=0.01)*999999))))</f>
        <v>✓ Todos los objetivos se pagan</v>
      </c>
    </row>
    <row r="4">
      <c r="A4" s="114" t="inlineStr">
        <is>
          <t>RESUMEN</t>
        </is>
      </c>
      <c r="G4" s="142" t="inlineStr">
        <is>
          <t>Cartera conservadora</t>
        </is>
      </c>
      <c r="H4" s="143" t="n"/>
      <c r="I4" s="143" t="n"/>
      <c r="J4" s="143" t="n"/>
      <c r="K4" s="143" t="n"/>
      <c r="L4" s="143" t="n"/>
      <c r="M4" s="142" t="inlineStr">
        <is>
          <t>Cartera indexada global</t>
        </is>
      </c>
      <c r="N4" s="143" t="n"/>
      <c r="O4" s="143" t="n"/>
      <c r="P4" s="143" t="n"/>
      <c r="Q4" s="143" t="n"/>
      <c r="R4" s="143" t="n"/>
      <c r="S4" s="142" t="inlineStr">
        <is>
          <t>Plan de pensiones</t>
        </is>
      </c>
      <c r="T4" s="143" t="n"/>
      <c r="U4" s="143" t="n"/>
      <c r="V4" s="143" t="n"/>
      <c r="W4" s="143" t="n"/>
      <c r="X4" s="143" t="n"/>
    </row>
    <row r="5" ht="30" customHeight="1">
      <c r="A5" s="106" t="inlineStr">
        <is>
          <t>AÑO</t>
        </is>
      </c>
      <c r="B5" s="106" t="inlineStr">
        <is>
          <t>DENTRO
DE</t>
        </is>
      </c>
      <c r="C5" s="106" t="inlineStr">
        <is>
          <t>TOTAL
ACUMULADO</t>
        </is>
      </c>
      <c r="D5" s="106" t="inlineStr">
        <is>
          <t>TOTAL NETO
(si vendes)</t>
        </is>
      </c>
      <c r="E5" s="106" t="inlineStr">
        <is>
          <t>APORTAS
EL AÑO</t>
        </is>
      </c>
      <c r="F5" s="106" t="inlineStr">
        <is>
          <t>RETIRAS
EL AÑO</t>
        </is>
      </c>
      <c r="G5" s="106" t="inlineStr">
        <is>
          <t>APORTAS</t>
        </is>
      </c>
      <c r="H5" s="106" t="inlineStr">
        <is>
          <t>VALOR</t>
        </is>
      </c>
      <c r="I5" s="106" t="inlineStr">
        <is>
          <t>BASE
(lo aportado)</t>
        </is>
      </c>
      <c r="J5" s="106" t="inlineStr">
        <is>
          <t>RETIRAS</t>
        </is>
      </c>
      <c r="K5" s="106" t="inlineStr">
        <is>
          <t>COSTE REAL
(con impuesto)</t>
        </is>
      </c>
      <c r="L5" s="106" t="inlineStr">
        <is>
          <t>⚠ SIN
CUBRIR</t>
        </is>
      </c>
      <c r="M5" s="106" t="inlineStr">
        <is>
          <t>APORTAS</t>
        </is>
      </c>
      <c r="N5" s="106" t="inlineStr">
        <is>
          <t>VALOR</t>
        </is>
      </c>
      <c r="O5" s="106" t="inlineStr">
        <is>
          <t>BASE
(lo aportado)</t>
        </is>
      </c>
      <c r="P5" s="106" t="inlineStr">
        <is>
          <t>RETIRAS</t>
        </is>
      </c>
      <c r="Q5" s="106" t="inlineStr">
        <is>
          <t>COSTE REAL
(con impuesto)</t>
        </is>
      </c>
      <c r="R5" s="106" t="inlineStr">
        <is>
          <t>⚠ SIN
CUBRIR</t>
        </is>
      </c>
      <c r="S5" s="106" t="inlineStr">
        <is>
          <t>APORTAS</t>
        </is>
      </c>
      <c r="T5" s="106" t="inlineStr">
        <is>
          <t>VALOR</t>
        </is>
      </c>
      <c r="U5" s="106" t="inlineStr">
        <is>
          <t>BASE
(lo aportado)</t>
        </is>
      </c>
      <c r="V5" s="106" t="inlineStr">
        <is>
          <t>RETIRAS</t>
        </is>
      </c>
      <c r="W5" s="106" t="inlineStr">
        <is>
          <t>COSTE REAL
(con impuesto)</t>
        </is>
      </c>
      <c r="X5" s="106" t="inlineStr">
        <is>
          <t>⚠ SIN
CUBRIR</t>
        </is>
      </c>
    </row>
    <row r="6">
      <c r="A6" s="144">
        <f>Objetivos!$B$5+B6</f>
        <v>2027</v>
      </c>
      <c r="B6" s="145" t="n">
        <v>1</v>
      </c>
      <c r="C6" s="126">
        <f>H6+N6+T6</f>
        <v>41280</v>
      </c>
      <c r="D6" s="126">
        <f>(H6-MAX(0,H6-I6)*Objetivos!$B$7)+(N6-MAX(0,N6-O6)*Objetivos!$B$7)+(T6-MAX(0,T6-U6)*Objetivos!$B$7)</f>
        <v>41280</v>
      </c>
      <c r="E6" s="146">
        <f>G6+M6+S6</f>
        <v>41280</v>
      </c>
      <c r="F6" s="147">
        <f>J6+P6+V6</f>
        <v>0</v>
      </c>
      <c r="G6" s="148">
        <f>IF(B6&gt;=Objetivos!$B$11,0,IF(B6=1,Objetivos!$E$19*12+Objetivos!$C$19+Objetivos!$D$19,Objetivos!$E$19*12*(1+Objetivos!$B$9)^(B6-1)))</f>
        <v>7560</v>
      </c>
      <c r="H6" s="149">
        <f>G6</f>
        <v>7560</v>
      </c>
      <c r="I6" s="148">
        <f>G6</f>
        <v>7560</v>
      </c>
      <c r="J6" s="150">
        <f>MIN(H6,SUMIFS(Objetivos!$I$26:$I$45,Objetivos!$E$26:$E$45,B6,Objetivos!$C$26:$C$45,"Único",Objetivos!$B$26:$B$45,Objetivos!$A$19)+SUMPRODUCT(((Objetivos!$C$26:$C$45="Renta")+(Objetivos!$C$26:$C$45="Jubilación"))*(Objetivos!$B$26:$B$45=Objetivos!$A$19)*(B6&gt;=Objetivos!$E$26:$E$45)*(B6&lt;Objetivos!$E$26:$E$45+Objetivos!$H$26:$H$45)*Objetivos!$G$26:$G$45)*12*(1+Objetivos!$B$6)^B6)</f>
        <v>0</v>
      </c>
      <c r="K6" s="148">
        <f>J6+IF(H6=0,0,J6*MAX(0,H6-I6)/H6)*Objetivos!$B$7</f>
        <v>0</v>
      </c>
      <c r="L6" s="151">
        <f>MAX(0,SUMIFS(Objetivos!$I$26:$I$45,Objetivos!$E$26:$E$45,B6,Objetivos!$C$26:$C$45,"Único",Objetivos!$B$26:$B$45,Objetivos!$A$19)+SUMPRODUCT(((Objetivos!$C$26:$C$45="Renta")+(Objetivos!$C$26:$C$45="Jubilación"))*(Objetivos!$B$26:$B$45=Objetivos!$A$19)*(B6&gt;=Objetivos!$E$26:$E$45)*(B6&lt;Objetivos!$E$26:$E$45+Objetivos!$H$26:$H$45)*Objetivos!$G$26:$G$45)*12*(1+Objetivos!$B$6)^B6-H6)</f>
        <v>0</v>
      </c>
      <c r="M6" s="148">
        <f>IF(B6&gt;=Objetivos!$B$11,0,IF(B6=1,Objetivos!$E$20*12+Objetivos!$C$20+Objetivos!$D$20,Objetivos!$E$20*12*(1+Objetivos!$B$9)^(B6-1)))</f>
        <v>22920</v>
      </c>
      <c r="N6" s="149">
        <f>M6</f>
        <v>22920</v>
      </c>
      <c r="O6" s="148">
        <f>M6</f>
        <v>22920</v>
      </c>
      <c r="P6" s="150">
        <f>MIN(N6,SUMIFS(Objetivos!$I$26:$I$45,Objetivos!$E$26:$E$45,B6,Objetivos!$C$26:$C$45,"Único",Objetivos!$B$26:$B$45,Objetivos!$A$20)+SUMPRODUCT(((Objetivos!$C$26:$C$45="Renta")+(Objetivos!$C$26:$C$45="Jubilación"))*(Objetivos!$B$26:$B$45=Objetivos!$A$20)*(B6&gt;=Objetivos!$E$26:$E$45)*(B6&lt;Objetivos!$E$26:$E$45+Objetivos!$H$26:$H$45)*Objetivos!$G$26:$G$45)*12*(1+Objetivos!$B$6)^B6)</f>
        <v>0</v>
      </c>
      <c r="Q6" s="148">
        <f>P6+IF(N6=0,0,P6*MAX(0,N6-O6)/N6)*Objetivos!$B$7</f>
        <v>0</v>
      </c>
      <c r="R6" s="151">
        <f>MAX(0,SUMIFS(Objetivos!$I$26:$I$45,Objetivos!$E$26:$E$45,B6,Objetivos!$C$26:$C$45,"Único",Objetivos!$B$26:$B$45,Objetivos!$A$20)+SUMPRODUCT(((Objetivos!$C$26:$C$45="Renta")+(Objetivos!$C$26:$C$45="Jubilación"))*(Objetivos!$B$26:$B$45=Objetivos!$A$20)*(B6&gt;=Objetivos!$E$26:$E$45)*(B6&lt;Objetivos!$E$26:$E$45+Objetivos!$H$26:$H$45)*Objetivos!$G$26:$G$45)*12*(1+Objetivos!$B$6)^B6-N6)</f>
        <v>0</v>
      </c>
      <c r="S6" s="148">
        <f>IF(B6&gt;=Objetivos!$B$11,0,IF(B6=1,Objetivos!$E$21*12+Objetivos!$C$21+Objetivos!$D$21,Objetivos!$E$21*12*(1+Objetivos!$B$9)^(B6-1)))</f>
        <v>10800</v>
      </c>
      <c r="T6" s="149">
        <f>S6</f>
        <v>10800</v>
      </c>
      <c r="U6" s="148">
        <f>S6</f>
        <v>10800</v>
      </c>
      <c r="V6" s="150">
        <f>MIN(T6,SUMIFS(Objetivos!$I$26:$I$45,Objetivos!$E$26:$E$45,B6,Objetivos!$C$26:$C$45,"Único",Objetivos!$B$26:$B$45,Objetivos!$A$21)+SUMPRODUCT(((Objetivos!$C$26:$C$45="Renta")+(Objetivos!$C$26:$C$45="Jubilación"))*(Objetivos!$B$26:$B$45=Objetivos!$A$21)*(B6&gt;=Objetivos!$E$26:$E$45)*(B6&lt;Objetivos!$E$26:$E$45+Objetivos!$H$26:$H$45)*Objetivos!$G$26:$G$45)*12*(1+Objetivos!$B$6)^B6)</f>
        <v>0</v>
      </c>
      <c r="W6" s="148">
        <f>V6+IF(T6=0,0,V6*MAX(0,T6-U6)/T6)*Objetivos!$B$7</f>
        <v>0</v>
      </c>
      <c r="X6" s="151">
        <f>MAX(0,SUMIFS(Objetivos!$I$26:$I$45,Objetivos!$E$26:$E$45,B6,Objetivos!$C$26:$C$45,"Único",Objetivos!$B$26:$B$45,Objetivos!$A$21)+SUMPRODUCT(((Objetivos!$C$26:$C$45="Renta")+(Objetivos!$C$26:$C$45="Jubilación"))*(Objetivos!$B$26:$B$45=Objetivos!$A$21)*(B6&gt;=Objetivos!$E$26:$E$45)*(B6&lt;Objetivos!$E$26:$E$45+Objetivos!$H$26:$H$45)*Objetivos!$G$26:$G$45)*12*(1+Objetivos!$B$6)^B6-T6)</f>
        <v>0</v>
      </c>
    </row>
    <row r="7">
      <c r="A7" s="152">
        <f>Objetivos!$B$5+B7</f>
        <v>2028</v>
      </c>
      <c r="B7" s="153" t="n">
        <v>2</v>
      </c>
      <c r="C7" s="154">
        <f>H7+N7+T7</f>
        <v>54965.4</v>
      </c>
      <c r="D7" s="154">
        <f>(H7-MAX(0,H7-I7)*Objetivos!$B$7)+(N7-MAX(0,N7-O7)*Objetivos!$B$7)+(T7-MAX(0,T7-U7)*Objetivos!$B$7)</f>
        <v>54485.844</v>
      </c>
      <c r="E7" s="155">
        <f>G7+M7+S7</f>
        <v>11505.6</v>
      </c>
      <c r="F7" s="156">
        <f>J7+P7+V7</f>
        <v>0</v>
      </c>
      <c r="G7" s="157">
        <f>IF(B7&gt;=Objetivos!$B$11,0,IF(B7=1,Objetivos!$E$19*12+Objetivos!$C$19+Objetivos!$D$19,Objetivos!$E$19*12*(1+Objetivos!$B$9)^(B7-1)))</f>
        <v>4651.2</v>
      </c>
      <c r="H7" s="158">
        <f>MAX(0,(H6-K6)*(1+Objetivos!$B$19)+G7)</f>
        <v>12475.8</v>
      </c>
      <c r="I7" s="157">
        <f>MAX(0,I6-IF(H6=0,0,J6*I6/H6)+G7)</f>
        <v>12211.2</v>
      </c>
      <c r="J7" s="159">
        <f>MIN(H7,SUMIFS(Objetivos!$I$26:$I$45,Objetivos!$E$26:$E$45,B7,Objetivos!$C$26:$C$45,"Único",Objetivos!$B$26:$B$45,Objetivos!$A$19)+SUMPRODUCT(((Objetivos!$C$26:$C$45="Renta")+(Objetivos!$C$26:$C$45="Jubilación"))*(Objetivos!$B$26:$B$45=Objetivos!$A$19)*(B7&gt;=Objetivos!$E$26:$E$45)*(B7&lt;Objetivos!$E$26:$E$45+Objetivos!$H$26:$H$45)*Objetivos!$G$26:$G$45)*12*(1+Objetivos!$B$6)^B7)</f>
        <v>0</v>
      </c>
      <c r="K7" s="157">
        <f>J7+IF(H7=0,0,J7*MAX(0,H7-I7)/H7)*Objetivos!$B$7</f>
        <v>0</v>
      </c>
      <c r="L7" s="160">
        <f>MAX(0,SUMIFS(Objetivos!$I$26:$I$45,Objetivos!$E$26:$E$45,B7,Objetivos!$C$26:$C$45,"Único",Objetivos!$B$26:$B$45,Objetivos!$A$19)+SUMPRODUCT(((Objetivos!$C$26:$C$45="Renta")+(Objetivos!$C$26:$C$45="Jubilación"))*(Objetivos!$B$26:$B$45=Objetivos!$A$19)*(B7&gt;=Objetivos!$E$26:$E$45)*(B7&lt;Objetivos!$E$26:$E$45+Objetivos!$H$26:$H$45)*Objetivos!$G$26:$G$45)*12*(1+Objetivos!$B$6)^B7-H7)</f>
        <v>0</v>
      </c>
      <c r="M7" s="157">
        <f>IF(B7&gt;=Objetivos!$B$11,0,IF(B7=1,Objetivos!$E$20*12+Objetivos!$C$20+Objetivos!$D$20,Objetivos!$E$20*12*(1+Objetivos!$B$9)^(B7-1)))</f>
        <v>5018.4</v>
      </c>
      <c r="N7" s="158">
        <f>MAX(0,(N6-Q6)*(1+Objetivos!$B$20)+M7)</f>
        <v>29313.6</v>
      </c>
      <c r="O7" s="157">
        <f>MAX(0,O6-IF(N6=0,0,P6*O6/N6)+M7)</f>
        <v>27938.4</v>
      </c>
      <c r="P7" s="159">
        <f>MIN(N7,SUMIFS(Objetivos!$I$26:$I$45,Objetivos!$E$26:$E$45,B7,Objetivos!$C$26:$C$45,"Único",Objetivos!$B$26:$B$45,Objetivos!$A$20)+SUMPRODUCT(((Objetivos!$C$26:$C$45="Renta")+(Objetivos!$C$26:$C$45="Jubilación"))*(Objetivos!$B$26:$B$45=Objetivos!$A$20)*(B7&gt;=Objetivos!$E$26:$E$45)*(B7&lt;Objetivos!$E$26:$E$45+Objetivos!$H$26:$H$45)*Objetivos!$G$26:$G$45)*12*(1+Objetivos!$B$6)^B7)</f>
        <v>0</v>
      </c>
      <c r="Q7" s="157">
        <f>P7+IF(N7=0,0,P7*MAX(0,N7-O7)/N7)*Objetivos!$B$7</f>
        <v>0</v>
      </c>
      <c r="R7" s="160">
        <f>MAX(0,SUMIFS(Objetivos!$I$26:$I$45,Objetivos!$E$26:$E$45,B7,Objetivos!$C$26:$C$45,"Único",Objetivos!$B$26:$B$45,Objetivos!$A$20)+SUMPRODUCT(((Objetivos!$C$26:$C$45="Renta")+(Objetivos!$C$26:$C$45="Jubilación"))*(Objetivos!$B$26:$B$45=Objetivos!$A$20)*(B7&gt;=Objetivos!$E$26:$E$45)*(B7&lt;Objetivos!$E$26:$E$45+Objetivos!$H$26:$H$45)*Objetivos!$G$26:$G$45)*12*(1+Objetivos!$B$6)^B7-N7)</f>
        <v>0</v>
      </c>
      <c r="S7" s="157">
        <f>IF(B7&gt;=Objetivos!$B$11,0,IF(B7=1,Objetivos!$E$21*12+Objetivos!$C$21+Objetivos!$D$21,Objetivos!$E$21*12*(1+Objetivos!$B$9)^(B7-1)))</f>
        <v>1836</v>
      </c>
      <c r="T7" s="158">
        <f>MAX(0,(T6-W6)*(1+Objetivos!$B$21)+S7)</f>
        <v>13176</v>
      </c>
      <c r="U7" s="157">
        <f>MAX(0,U6-IF(T6=0,0,V6*U6/T6)+S7)</f>
        <v>12636</v>
      </c>
      <c r="V7" s="159">
        <f>MIN(T7,SUMIFS(Objetivos!$I$26:$I$45,Objetivos!$E$26:$E$45,B7,Objetivos!$C$26:$C$45,"Único",Objetivos!$B$26:$B$45,Objetivos!$A$21)+SUMPRODUCT(((Objetivos!$C$26:$C$45="Renta")+(Objetivos!$C$26:$C$45="Jubilación"))*(Objetivos!$B$26:$B$45=Objetivos!$A$21)*(B7&gt;=Objetivos!$E$26:$E$45)*(B7&lt;Objetivos!$E$26:$E$45+Objetivos!$H$26:$H$45)*Objetivos!$G$26:$G$45)*12*(1+Objetivos!$B$6)^B7)</f>
        <v>0</v>
      </c>
      <c r="W7" s="157">
        <f>V7+IF(T7=0,0,V7*MAX(0,T7-U7)/T7)*Objetivos!$B$7</f>
        <v>0</v>
      </c>
      <c r="X7" s="160">
        <f>MAX(0,SUMIFS(Objetivos!$I$26:$I$45,Objetivos!$E$26:$E$45,B7,Objetivos!$C$26:$C$45,"Único",Objetivos!$B$26:$B$45,Objetivos!$A$21)+SUMPRODUCT(((Objetivos!$C$26:$C$45="Renta")+(Objetivos!$C$26:$C$45="Jubilación"))*(Objetivos!$B$26:$B$45=Objetivos!$A$21)*(B7&gt;=Objetivos!$E$26:$E$45)*(B7&lt;Objetivos!$E$26:$E$45+Objetivos!$H$26:$H$45)*Objetivos!$G$26:$G$45)*12*(1+Objetivos!$B$6)^B7-T7)</f>
        <v>0</v>
      </c>
    </row>
    <row r="8">
      <c r="A8" s="144">
        <f>Objetivos!$B$5+B8</f>
        <v>2029</v>
      </c>
      <c r="B8" s="145" t="n">
        <v>3</v>
      </c>
      <c r="C8" s="126">
        <f>H8+N8+T8</f>
        <v>69555.381</v>
      </c>
      <c r="D8" s="126">
        <f>(H8-MAX(0,H8-I8)*Objetivos!$B$7)+(N8-MAX(0,N8-O8)*Objetivos!$B$7)+(T8-MAX(0,T8-U8)*Objetivos!$B$7)</f>
        <v>68447.88582</v>
      </c>
      <c r="E8" s="146">
        <f>G8+M8+S8</f>
        <v>11735.712</v>
      </c>
      <c r="F8" s="147">
        <f>J8+P8+V8</f>
        <v>0</v>
      </c>
      <c r="G8" s="148">
        <f>IF(B8&gt;=Objetivos!$B$11,0,IF(B8=1,Objetivos!$E$19*12+Objetivos!$C$19+Objetivos!$D$19,Objetivos!$E$19*12*(1+Objetivos!$B$9)^(B8-1)))</f>
        <v>4744.224</v>
      </c>
      <c r="H8" s="149">
        <f>MAX(0,(H7-K7)*(1+Objetivos!$B$19)+G8)</f>
        <v>17656.677</v>
      </c>
      <c r="I8" s="148">
        <f>MAX(0,I7-IF(H7=0,0,J7*I7/H7)+G8)</f>
        <v>16955.424</v>
      </c>
      <c r="J8" s="150">
        <f>MIN(H8,SUMIFS(Objetivos!$I$26:$I$45,Objetivos!$E$26:$E$45,B8,Objetivos!$C$26:$C$45,"Único",Objetivos!$B$26:$B$45,Objetivos!$A$19)+SUMPRODUCT(((Objetivos!$C$26:$C$45="Renta")+(Objetivos!$C$26:$C$45="Jubilación"))*(Objetivos!$B$26:$B$45=Objetivos!$A$19)*(B8&gt;=Objetivos!$E$26:$E$45)*(B8&lt;Objetivos!$E$26:$E$45+Objetivos!$H$26:$H$45)*Objetivos!$G$26:$G$45)*12*(1+Objetivos!$B$6)^B8)</f>
        <v>0</v>
      </c>
      <c r="K8" s="148">
        <f>J8+IF(H8=0,0,J8*MAX(0,H8-I8)/H8)*Objetivos!$B$7</f>
        <v>0</v>
      </c>
      <c r="L8" s="151">
        <f>MAX(0,SUMIFS(Objetivos!$I$26:$I$45,Objetivos!$E$26:$E$45,B8,Objetivos!$C$26:$C$45,"Único",Objetivos!$B$26:$B$45,Objetivos!$A$19)+SUMPRODUCT(((Objetivos!$C$26:$C$45="Renta")+(Objetivos!$C$26:$C$45="Jubilación"))*(Objetivos!$B$26:$B$45=Objetivos!$A$19)*(B8&gt;=Objetivos!$E$26:$E$45)*(B8&lt;Objetivos!$E$26:$E$45+Objetivos!$H$26:$H$45)*Objetivos!$G$26:$G$45)*12*(1+Objetivos!$B$6)^B8-H8)</f>
        <v>0</v>
      </c>
      <c r="M8" s="148">
        <f>IF(B8&gt;=Objetivos!$B$11,0,IF(B8=1,Objetivos!$E$20*12+Objetivos!$C$20+Objetivos!$D$20,Objetivos!$E$20*12*(1+Objetivos!$B$9)^(B8-1)))</f>
        <v>5118.768</v>
      </c>
      <c r="N8" s="149">
        <f>MAX(0,(N7-Q7)*(1+Objetivos!$B$20)+M8)</f>
        <v>36191.184</v>
      </c>
      <c r="O8" s="148">
        <f>MAX(0,O7-IF(N7=0,0,P7*O7/N7)+M8)</f>
        <v>33057.168</v>
      </c>
      <c r="P8" s="150">
        <f>MIN(N8,SUMIFS(Objetivos!$I$26:$I$45,Objetivos!$E$26:$E$45,B8,Objetivos!$C$26:$C$45,"Único",Objetivos!$B$26:$B$45,Objetivos!$A$20)+SUMPRODUCT(((Objetivos!$C$26:$C$45="Renta")+(Objetivos!$C$26:$C$45="Jubilación"))*(Objetivos!$B$26:$B$45=Objetivos!$A$20)*(B8&gt;=Objetivos!$E$26:$E$45)*(B8&lt;Objetivos!$E$26:$E$45+Objetivos!$H$26:$H$45)*Objetivos!$G$26:$G$45)*12*(1+Objetivos!$B$6)^B8)</f>
        <v>0</v>
      </c>
      <c r="Q8" s="148">
        <f>P8+IF(N8=0,0,P8*MAX(0,N8-O8)/N8)*Objetivos!$B$7</f>
        <v>0</v>
      </c>
      <c r="R8" s="151">
        <f>MAX(0,SUMIFS(Objetivos!$I$26:$I$45,Objetivos!$E$26:$E$45,B8,Objetivos!$C$26:$C$45,"Único",Objetivos!$B$26:$B$45,Objetivos!$A$20)+SUMPRODUCT(((Objetivos!$C$26:$C$45="Renta")+(Objetivos!$C$26:$C$45="Jubilación"))*(Objetivos!$B$26:$B$45=Objetivos!$A$20)*(B8&gt;=Objetivos!$E$26:$E$45)*(B8&lt;Objetivos!$E$26:$E$45+Objetivos!$H$26:$H$45)*Objetivos!$G$26:$G$45)*12*(1+Objetivos!$B$6)^B8-N8)</f>
        <v>0</v>
      </c>
      <c r="S8" s="148">
        <f>IF(B8&gt;=Objetivos!$B$11,0,IF(B8=1,Objetivos!$E$21*12+Objetivos!$C$21+Objetivos!$D$21,Objetivos!$E$21*12*(1+Objetivos!$B$9)^(B8-1)))</f>
        <v>1872.72</v>
      </c>
      <c r="T8" s="149">
        <f>MAX(0,(T7-W7)*(1+Objetivos!$B$21)+S8)</f>
        <v>15707.52</v>
      </c>
      <c r="U8" s="148">
        <f>MAX(0,U7-IF(T7=0,0,V7*U7/T7)+S8)</f>
        <v>14508.72</v>
      </c>
      <c r="V8" s="150">
        <f>MIN(T8,SUMIFS(Objetivos!$I$26:$I$45,Objetivos!$E$26:$E$45,B8,Objetivos!$C$26:$C$45,"Único",Objetivos!$B$26:$B$45,Objetivos!$A$21)+SUMPRODUCT(((Objetivos!$C$26:$C$45="Renta")+(Objetivos!$C$26:$C$45="Jubilación"))*(Objetivos!$B$26:$B$45=Objetivos!$A$21)*(B8&gt;=Objetivos!$E$26:$E$45)*(B8&lt;Objetivos!$E$26:$E$45+Objetivos!$H$26:$H$45)*Objetivos!$G$26:$G$45)*12*(1+Objetivos!$B$6)^B8)</f>
        <v>0</v>
      </c>
      <c r="W8" s="148">
        <f>V8+IF(T8=0,0,V8*MAX(0,T8-U8)/T8)*Objetivos!$B$7</f>
        <v>0</v>
      </c>
      <c r="X8" s="151">
        <f>MAX(0,SUMIFS(Objetivos!$I$26:$I$45,Objetivos!$E$26:$E$45,B8,Objetivos!$C$26:$C$45,"Único",Objetivos!$B$26:$B$45,Objetivos!$A$21)+SUMPRODUCT(((Objetivos!$C$26:$C$45="Renta")+(Objetivos!$C$26:$C$45="Jubilación"))*(Objetivos!$B$26:$B$45=Objetivos!$A$21)*(B8&gt;=Objetivos!$E$26:$E$45)*(B8&lt;Objetivos!$E$26:$E$45+Objetivos!$H$26:$H$45)*Objetivos!$G$26:$G$45)*12*(1+Objetivos!$B$6)^B8-T8)</f>
        <v>0</v>
      </c>
    </row>
    <row r="9">
      <c r="A9" s="152">
        <f>Objetivos!$B$5+B9</f>
        <v>2030</v>
      </c>
      <c r="B9" s="153" t="n">
        <v>4</v>
      </c>
      <c r="C9" s="154">
        <f>H9+N9+T9</f>
        <v>85100.637975</v>
      </c>
      <c r="D9" s="154">
        <f>(H9-MAX(0,H9-I9)*Objetivos!$B$7)+(N9-MAX(0,N9-O9)*Objetivos!$B$7)+(T9-MAX(0,T9-U9)*Objetivos!$B$7)</f>
        <v>83206.6800333</v>
      </c>
      <c r="E9" s="155">
        <f>G9+M9+S9</f>
        <v>11970.42624</v>
      </c>
      <c r="F9" s="156">
        <f>J9+P9+V9</f>
        <v>0</v>
      </c>
      <c r="G9" s="157">
        <f>IF(B9&gt;=Objetivos!$B$11,0,IF(B9=1,Objetivos!$E$19*12+Objetivos!$C$19+Objetivos!$D$19,Objetivos!$E$19*12*(1+Objetivos!$B$9)^(B9-1)))</f>
        <v>4839.10848</v>
      </c>
      <c r="H9" s="158">
        <f>MAX(0,(H8-K8)*(1+Objetivos!$B$19)+G9)</f>
        <v>23113.769175</v>
      </c>
      <c r="I9" s="157">
        <f>MAX(0,I8-IF(H8=0,0,J8*I8/H8)+G9)</f>
        <v>21794.53248</v>
      </c>
      <c r="J9" s="159">
        <f>MIN(H9,SUMIFS(Objetivos!$I$26:$I$45,Objetivos!$E$26:$E$45,B9,Objetivos!$C$26:$C$45,"Único",Objetivos!$B$26:$B$45,Objetivos!$A$19)+SUMPRODUCT(((Objetivos!$C$26:$C$45="Renta")+(Objetivos!$C$26:$C$45="Jubilación"))*(Objetivos!$B$26:$B$45=Objetivos!$A$19)*(B9&gt;=Objetivos!$E$26:$E$45)*(B9&lt;Objetivos!$E$26:$E$45+Objetivos!$H$26:$H$45)*Objetivos!$G$26:$G$45)*12*(1+Objetivos!$B$6)^B9)</f>
        <v>0</v>
      </c>
      <c r="K9" s="157">
        <f>J9+IF(H9=0,0,J9*MAX(0,H9-I9)/H9)*Objetivos!$B$7</f>
        <v>0</v>
      </c>
      <c r="L9" s="160">
        <f>MAX(0,SUMIFS(Objetivos!$I$26:$I$45,Objetivos!$E$26:$E$45,B9,Objetivos!$C$26:$C$45,"Único",Objetivos!$B$26:$B$45,Objetivos!$A$19)+SUMPRODUCT(((Objetivos!$C$26:$C$45="Renta")+(Objetivos!$C$26:$C$45="Jubilación"))*(Objetivos!$B$26:$B$45=Objetivos!$A$19)*(B9&gt;=Objetivos!$E$26:$E$45)*(B9&lt;Objetivos!$E$26:$E$45+Objetivos!$H$26:$H$45)*Objetivos!$G$26:$G$45)*12*(1+Objetivos!$B$6)^B9-H9)</f>
        <v>0</v>
      </c>
      <c r="M9" s="157">
        <f>IF(B9&gt;=Objetivos!$B$11,0,IF(B9=1,Objetivos!$E$20*12+Objetivos!$C$20+Objetivos!$D$20,Objetivos!$E$20*12*(1+Objetivos!$B$9)^(B9-1)))</f>
        <v>5221.14336</v>
      </c>
      <c r="N9" s="158">
        <f>MAX(0,(N8-Q8)*(1+Objetivos!$B$20)+M9)</f>
        <v>43583.7984</v>
      </c>
      <c r="O9" s="157">
        <f>MAX(0,O8-IF(N8=0,0,P8*O8/N8)+M9)</f>
        <v>38278.31136</v>
      </c>
      <c r="P9" s="159">
        <f>MIN(N9,SUMIFS(Objetivos!$I$26:$I$45,Objetivos!$E$26:$E$45,B9,Objetivos!$C$26:$C$45,"Único",Objetivos!$B$26:$B$45,Objetivos!$A$20)+SUMPRODUCT(((Objetivos!$C$26:$C$45="Renta")+(Objetivos!$C$26:$C$45="Jubilación"))*(Objetivos!$B$26:$B$45=Objetivos!$A$20)*(B9&gt;=Objetivos!$E$26:$E$45)*(B9&lt;Objetivos!$E$26:$E$45+Objetivos!$H$26:$H$45)*Objetivos!$G$26:$G$45)*12*(1+Objetivos!$B$6)^B9)</f>
        <v>0</v>
      </c>
      <c r="Q9" s="157">
        <f>P9+IF(N9=0,0,P9*MAX(0,N9-O9)/N9)*Objetivos!$B$7</f>
        <v>0</v>
      </c>
      <c r="R9" s="160">
        <f>MAX(0,SUMIFS(Objetivos!$I$26:$I$45,Objetivos!$E$26:$E$45,B9,Objetivos!$C$26:$C$45,"Único",Objetivos!$B$26:$B$45,Objetivos!$A$20)+SUMPRODUCT(((Objetivos!$C$26:$C$45="Renta")+(Objetivos!$C$26:$C$45="Jubilación"))*(Objetivos!$B$26:$B$45=Objetivos!$A$20)*(B9&gt;=Objetivos!$E$26:$E$45)*(B9&lt;Objetivos!$E$26:$E$45+Objetivos!$H$26:$H$45)*Objetivos!$G$26:$G$45)*12*(1+Objetivos!$B$6)^B9-N9)</f>
        <v>0</v>
      </c>
      <c r="S9" s="157">
        <f>IF(B9&gt;=Objetivos!$B$11,0,IF(B9=1,Objetivos!$E$21*12+Objetivos!$C$21+Objetivos!$D$21,Objetivos!$E$21*12*(1+Objetivos!$B$9)^(B9-1)))</f>
        <v>1910.1744</v>
      </c>
      <c r="T9" s="158">
        <f>MAX(0,(T8-W8)*(1+Objetivos!$B$21)+S9)</f>
        <v>18403.0704</v>
      </c>
      <c r="U9" s="157">
        <f>MAX(0,U8-IF(T8=0,0,V8*U8/T8)+S9)</f>
        <v>16418.8944</v>
      </c>
      <c r="V9" s="159">
        <f>MIN(T9,SUMIFS(Objetivos!$I$26:$I$45,Objetivos!$E$26:$E$45,B9,Objetivos!$C$26:$C$45,"Único",Objetivos!$B$26:$B$45,Objetivos!$A$21)+SUMPRODUCT(((Objetivos!$C$26:$C$45="Renta")+(Objetivos!$C$26:$C$45="Jubilación"))*(Objetivos!$B$26:$B$45=Objetivos!$A$21)*(B9&gt;=Objetivos!$E$26:$E$45)*(B9&lt;Objetivos!$E$26:$E$45+Objetivos!$H$26:$H$45)*Objetivos!$G$26:$G$45)*12*(1+Objetivos!$B$6)^B9)</f>
        <v>0</v>
      </c>
      <c r="W9" s="157">
        <f>V9+IF(T9=0,0,V9*MAX(0,T9-U9)/T9)*Objetivos!$B$7</f>
        <v>0</v>
      </c>
      <c r="X9" s="160">
        <f>MAX(0,SUMIFS(Objetivos!$I$26:$I$45,Objetivos!$E$26:$E$45,B9,Objetivos!$C$26:$C$45,"Único",Objetivos!$B$26:$B$45,Objetivos!$A$21)+SUMPRODUCT(((Objetivos!$C$26:$C$45="Renta")+(Objetivos!$C$26:$C$45="Jubilación"))*(Objetivos!$B$26:$B$45=Objetivos!$A$21)*(B9&gt;=Objetivos!$E$26:$E$45)*(B9&lt;Objetivos!$E$26:$E$45+Objetivos!$H$26:$H$45)*Objetivos!$G$26:$G$45)*12*(1+Objetivos!$B$6)^B9-T9)</f>
        <v>0</v>
      </c>
    </row>
    <row r="10">
      <c r="A10" s="144">
        <f>Objetivos!$B$5+B10</f>
        <v>2031</v>
      </c>
      <c r="B10" s="145" t="n">
        <v>5</v>
      </c>
      <c r="C10" s="126">
        <f>H10+N10+T10</f>
        <v>101654.636084925</v>
      </c>
      <c r="D10" s="126">
        <f>(H10-MAX(0,H10-I10)*Objetivos!$B$7)+(N10-MAX(0,N10-O10)*Objetivos!$B$7)+(T10-MAX(0,T10-U10)*Objetivos!$B$7)</f>
        <v>98804.9622072975</v>
      </c>
      <c r="E10" s="146">
        <f>G10+M10+S10</f>
        <v>12209.8347648</v>
      </c>
      <c r="F10" s="147">
        <f>J10+P10+V10</f>
        <v>0</v>
      </c>
      <c r="G10" s="148">
        <f>IF(B10&gt;=Objetivos!$B$11,0,IF(B10=1,Objetivos!$E$19*12+Objetivos!$C$19+Objetivos!$D$19,Objetivos!$E$19*12*(1+Objetivos!$B$9)^(B10-1)))</f>
        <v>4935.8906496</v>
      </c>
      <c r="H10" s="149">
        <f>MAX(0,(H9-K9)*(1+Objetivos!$B$19)+G10)</f>
        <v>28858.641745725</v>
      </c>
      <c r="I10" s="148">
        <f>MAX(0,I9-IF(H9=0,0,J9*I9/H9)+G10)</f>
        <v>26730.4231296</v>
      </c>
      <c r="J10" s="150">
        <f>MIN(H10,SUMIFS(Objetivos!$I$26:$I$45,Objetivos!$E$26:$E$45,B10,Objetivos!$C$26:$C$45,"Único",Objetivos!$B$26:$B$45,Objetivos!$A$19)+SUMPRODUCT(((Objetivos!$C$26:$C$45="Renta")+(Objetivos!$C$26:$C$45="Jubilación"))*(Objetivos!$B$26:$B$45=Objetivos!$A$19)*(B10&gt;=Objetivos!$E$26:$E$45)*(B10&lt;Objetivos!$E$26:$E$45+Objetivos!$H$26:$H$45)*Objetivos!$G$26:$G$45)*12*(1+Objetivos!$B$6)^B10)</f>
        <v>0</v>
      </c>
      <c r="K10" s="148">
        <f>J10+IF(H10=0,0,J10*MAX(0,H10-I10)/H10)*Objetivos!$B$7</f>
        <v>0</v>
      </c>
      <c r="L10" s="151">
        <f>MAX(0,SUMIFS(Objetivos!$I$26:$I$45,Objetivos!$E$26:$E$45,B10,Objetivos!$C$26:$C$45,"Único",Objetivos!$B$26:$B$45,Objetivos!$A$19)+SUMPRODUCT(((Objetivos!$C$26:$C$45="Renta")+(Objetivos!$C$26:$C$45="Jubilación"))*(Objetivos!$B$26:$B$45=Objetivos!$A$19)*(B10&gt;=Objetivos!$E$26:$E$45)*(B10&lt;Objetivos!$E$26:$E$45+Objetivos!$H$26:$H$45)*Objetivos!$G$26:$G$45)*12*(1+Objetivos!$B$6)^B10-H10)</f>
        <v>0</v>
      </c>
      <c r="M10" s="148">
        <f>IF(B10&gt;=Objetivos!$B$11,0,IF(B10=1,Objetivos!$E$20*12+Objetivos!$C$20+Objetivos!$D$20,Objetivos!$E$20*12*(1+Objetivos!$B$9)^(B10-1)))</f>
        <v>5325.5662272</v>
      </c>
      <c r="N10" s="149">
        <f>MAX(0,(N9-Q9)*(1+Objetivos!$B$20)+M10)</f>
        <v>51524.3925312</v>
      </c>
      <c r="O10" s="148">
        <f>MAX(0,O9-IF(N9=0,0,P9*O9/N9)+M10)</f>
        <v>43603.8775872</v>
      </c>
      <c r="P10" s="150">
        <f>MIN(N10,SUMIFS(Objetivos!$I$26:$I$45,Objetivos!$E$26:$E$45,B10,Objetivos!$C$26:$C$45,"Único",Objetivos!$B$26:$B$45,Objetivos!$A$20)+SUMPRODUCT(((Objetivos!$C$26:$C$45="Renta")+(Objetivos!$C$26:$C$45="Jubilación"))*(Objetivos!$B$26:$B$45=Objetivos!$A$20)*(B10&gt;=Objetivos!$E$26:$E$45)*(B10&lt;Objetivos!$E$26:$E$45+Objetivos!$H$26:$H$45)*Objetivos!$G$26:$G$45)*12*(1+Objetivos!$B$6)^B10)</f>
        <v>0</v>
      </c>
      <c r="Q10" s="148">
        <f>P10+IF(N10=0,0,P10*MAX(0,N10-O10)/N10)*Objetivos!$B$7</f>
        <v>0</v>
      </c>
      <c r="R10" s="151">
        <f>MAX(0,SUMIFS(Objetivos!$I$26:$I$45,Objetivos!$E$26:$E$45,B10,Objetivos!$C$26:$C$45,"Único",Objetivos!$B$26:$B$45,Objetivos!$A$20)+SUMPRODUCT(((Objetivos!$C$26:$C$45="Renta")+(Objetivos!$C$26:$C$45="Jubilación"))*(Objetivos!$B$26:$B$45=Objetivos!$A$20)*(B10&gt;=Objetivos!$E$26:$E$45)*(B10&lt;Objetivos!$E$26:$E$45+Objetivos!$H$26:$H$45)*Objetivos!$G$26:$G$45)*12*(1+Objetivos!$B$6)^B10-N10)</f>
        <v>0</v>
      </c>
      <c r="S10" s="148">
        <f>IF(B10&gt;=Objetivos!$B$11,0,IF(B10=1,Objetivos!$E$21*12+Objetivos!$C$21+Objetivos!$D$21,Objetivos!$E$21*12*(1+Objetivos!$B$9)^(B10-1)))</f>
        <v>1948.377888</v>
      </c>
      <c r="T10" s="149">
        <f>MAX(0,(T9-W9)*(1+Objetivos!$B$21)+S10)</f>
        <v>21271.601808</v>
      </c>
      <c r="U10" s="148">
        <f>MAX(0,U9-IF(T9=0,0,V9*U9/T9)+S10)</f>
        <v>18367.272288</v>
      </c>
      <c r="V10" s="150">
        <f>MIN(T10,SUMIFS(Objetivos!$I$26:$I$45,Objetivos!$E$26:$E$45,B10,Objetivos!$C$26:$C$45,"Único",Objetivos!$B$26:$B$45,Objetivos!$A$21)+SUMPRODUCT(((Objetivos!$C$26:$C$45="Renta")+(Objetivos!$C$26:$C$45="Jubilación"))*(Objetivos!$B$26:$B$45=Objetivos!$A$21)*(B10&gt;=Objetivos!$E$26:$E$45)*(B10&lt;Objetivos!$E$26:$E$45+Objetivos!$H$26:$H$45)*Objetivos!$G$26:$G$45)*12*(1+Objetivos!$B$6)^B10)</f>
        <v>0</v>
      </c>
      <c r="W10" s="148">
        <f>V10+IF(T10=0,0,V10*MAX(0,T10-U10)/T10)*Objetivos!$B$7</f>
        <v>0</v>
      </c>
      <c r="X10" s="151">
        <f>MAX(0,SUMIFS(Objetivos!$I$26:$I$45,Objetivos!$E$26:$E$45,B10,Objetivos!$C$26:$C$45,"Único",Objetivos!$B$26:$B$45,Objetivos!$A$21)+SUMPRODUCT(((Objetivos!$C$26:$C$45="Renta")+(Objetivos!$C$26:$C$45="Jubilación"))*(Objetivos!$B$26:$B$45=Objetivos!$A$21)*(B10&gt;=Objetivos!$E$26:$E$45)*(B10&lt;Objetivos!$E$26:$E$45+Objetivos!$H$26:$H$45)*Objetivos!$G$26:$G$45)*12*(1+Objetivos!$B$6)^B10-T10)</f>
        <v>0</v>
      </c>
    </row>
    <row r="11">
      <c r="A11" s="152">
        <f>Objetivos!$B$5+B11</f>
        <v>2032</v>
      </c>
      <c r="B11" s="153" t="n">
        <v>6</v>
      </c>
      <c r="C11" s="154">
        <f>H11+N11+T11</f>
        <v>119273.763648393</v>
      </c>
      <c r="D11" s="154">
        <f>(H11-MAX(0,H11-I11)*Objetivos!$B$7)+(N11-MAX(0,N11-O11)*Objetivos!$B$7)+(T11-MAX(0,T11-U11)*Objetivos!$B$7)</f>
        <v>115287.768628024</v>
      </c>
      <c r="E11" s="155">
        <f>G11+M11+S11</f>
        <v>12454.031460096</v>
      </c>
      <c r="F11" s="156">
        <f>J11+P11+V11</f>
        <v>13916.3210185547</v>
      </c>
      <c r="G11" s="157">
        <f>IF(B11&gt;=Objetivos!$B$11,0,IF(B11=1,Objetivos!$E$19*12+Objetivos!$C$19+Objetivos!$D$19,Objetivos!$E$19*12*(1+Objetivos!$B$9)^(B11-1)))</f>
        <v>5034.608462592</v>
      </c>
      <c r="H11" s="158">
        <f>MAX(0,(H10-K10)*(1+Objetivos!$B$19)+G11)</f>
        <v>34903.3026694174</v>
      </c>
      <c r="I11" s="157">
        <f>MAX(0,I10-IF(H10=0,0,J10*I10/H10)+G11)</f>
        <v>31765.031592192</v>
      </c>
      <c r="J11" s="159">
        <f>MIN(H11,SUMIFS(Objetivos!$I$26:$I$45,Objetivos!$E$26:$E$45,B11,Objetivos!$C$26:$C$45,"Único",Objetivos!$B$26:$B$45,Objetivos!$A$19)+SUMPRODUCT(((Objetivos!$C$26:$C$45="Renta")+(Objetivos!$C$26:$C$45="Jubilación"))*(Objetivos!$B$26:$B$45=Objetivos!$A$19)*(B11&gt;=Objetivos!$E$26:$E$45)*(B11&lt;Objetivos!$E$26:$E$45+Objetivos!$H$26:$H$45)*Objetivos!$G$26:$G$45)*12*(1+Objetivos!$B$6)^B11)</f>
        <v>13916.3210185547</v>
      </c>
      <c r="K11" s="157">
        <f>J11+IF(H11=0,0,J11*MAX(0,H11-I11)/H11)*Objetivos!$B$7</f>
        <v>14191.5987307203</v>
      </c>
      <c r="L11" s="160">
        <f>MAX(0,SUMIFS(Objetivos!$I$26:$I$45,Objetivos!$E$26:$E$45,B11,Objetivos!$C$26:$C$45,"Único",Objetivos!$B$26:$B$45,Objetivos!$A$19)+SUMPRODUCT(((Objetivos!$C$26:$C$45="Renta")+(Objetivos!$C$26:$C$45="Jubilación"))*(Objetivos!$B$26:$B$45=Objetivos!$A$19)*(B11&gt;=Objetivos!$E$26:$E$45)*(B11&lt;Objetivos!$E$26:$E$45+Objetivos!$H$26:$H$45)*Objetivos!$G$26:$G$45)*12*(1+Objetivos!$B$6)^B11-H11)</f>
        <v>0</v>
      </c>
      <c r="M11" s="157">
        <f>IF(B11&gt;=Objetivos!$B$11,0,IF(B11=1,Objetivos!$E$20*12+Objetivos!$C$20+Objetivos!$D$20,Objetivos!$E$20*12*(1+Objetivos!$B$9)^(B11-1)))</f>
        <v>5432.077551744</v>
      </c>
      <c r="N11" s="158">
        <f>MAX(0,(N10-Q10)*(1+Objetivos!$B$20)+M11)</f>
        <v>60047.933634816</v>
      </c>
      <c r="O11" s="157">
        <f>MAX(0,O10-IF(N10=0,0,P10*O10/N10)+M11)</f>
        <v>49035.955138944</v>
      </c>
      <c r="P11" s="159">
        <f>MIN(N11,SUMIFS(Objetivos!$I$26:$I$45,Objetivos!$E$26:$E$45,B11,Objetivos!$C$26:$C$45,"Único",Objetivos!$B$26:$B$45,Objetivos!$A$20)+SUMPRODUCT(((Objetivos!$C$26:$C$45="Renta")+(Objetivos!$C$26:$C$45="Jubilación"))*(Objetivos!$B$26:$B$45=Objetivos!$A$20)*(B11&gt;=Objetivos!$E$26:$E$45)*(B11&lt;Objetivos!$E$26:$E$45+Objetivos!$H$26:$H$45)*Objetivos!$G$26:$G$45)*12*(1+Objetivos!$B$6)^B11)</f>
        <v>0</v>
      </c>
      <c r="Q11" s="157">
        <f>P11+IF(N11=0,0,P11*MAX(0,N11-O11)/N11)*Objetivos!$B$7</f>
        <v>0</v>
      </c>
      <c r="R11" s="160">
        <f>MAX(0,SUMIFS(Objetivos!$I$26:$I$45,Objetivos!$E$26:$E$45,B11,Objetivos!$C$26:$C$45,"Único",Objetivos!$B$26:$B$45,Objetivos!$A$20)+SUMPRODUCT(((Objetivos!$C$26:$C$45="Renta")+(Objetivos!$C$26:$C$45="Jubilación"))*(Objetivos!$B$26:$B$45=Objetivos!$A$20)*(B11&gt;=Objetivos!$E$26:$E$45)*(B11&lt;Objetivos!$E$26:$E$45+Objetivos!$H$26:$H$45)*Objetivos!$G$26:$G$45)*12*(1+Objetivos!$B$6)^B11-N11)</f>
        <v>0</v>
      </c>
      <c r="S11" s="157">
        <f>IF(B11&gt;=Objetivos!$B$11,0,IF(B11=1,Objetivos!$E$21*12+Objetivos!$C$21+Objetivos!$D$21,Objetivos!$E$21*12*(1+Objetivos!$B$9)^(B11-1)))</f>
        <v>1987.34544576</v>
      </c>
      <c r="T11" s="158">
        <f>MAX(0,(T10-W10)*(1+Objetivos!$B$21)+S11)</f>
        <v>24322.52734416</v>
      </c>
      <c r="U11" s="157">
        <f>MAX(0,U10-IF(T10=0,0,V10*U10/T10)+S11)</f>
        <v>20354.61773376</v>
      </c>
      <c r="V11" s="159">
        <f>MIN(T11,SUMIFS(Objetivos!$I$26:$I$45,Objetivos!$E$26:$E$45,B11,Objetivos!$C$26:$C$45,"Único",Objetivos!$B$26:$B$45,Objetivos!$A$21)+SUMPRODUCT(((Objetivos!$C$26:$C$45="Renta")+(Objetivos!$C$26:$C$45="Jubilación"))*(Objetivos!$B$26:$B$45=Objetivos!$A$21)*(B11&gt;=Objetivos!$E$26:$E$45)*(B11&lt;Objetivos!$E$26:$E$45+Objetivos!$H$26:$H$45)*Objetivos!$G$26:$G$45)*12*(1+Objetivos!$B$6)^B11)</f>
        <v>0</v>
      </c>
      <c r="W11" s="157">
        <f>V11+IF(T11=0,0,V11*MAX(0,T11-U11)/T11)*Objetivos!$B$7</f>
        <v>0</v>
      </c>
      <c r="X11" s="160">
        <f>MAX(0,SUMIFS(Objetivos!$I$26:$I$45,Objetivos!$E$26:$E$45,B11,Objetivos!$C$26:$C$45,"Único",Objetivos!$B$26:$B$45,Objetivos!$A$21)+SUMPRODUCT(((Objetivos!$C$26:$C$45="Renta")+(Objetivos!$C$26:$C$45="Jubilación"))*(Objetivos!$B$26:$B$45=Objetivos!$A$21)*(B11&gt;=Objetivos!$E$26:$E$45)*(B11&lt;Objetivos!$E$26:$E$45+Objetivos!$H$26:$H$45)*Objetivos!$G$26:$G$45)*12*(1+Objetivos!$B$6)^B11-T11)</f>
        <v>0</v>
      </c>
    </row>
    <row r="12">
      <c r="A12" s="144">
        <f>Objetivos!$B$5+B12</f>
        <v>2033</v>
      </c>
      <c r="B12" s="145" t="n">
        <v>7</v>
      </c>
      <c r="C12" s="126">
        <f>H12+N12+T12</f>
        <v>123329.189030122</v>
      </c>
      <c r="D12" s="126">
        <f>(H12-MAX(0,H12-I12)*Objetivos!$B$7)+(N12-MAX(0,N12-O12)*Objetivos!$B$7)+(T12-MAX(0,T12-U12)*Objetivos!$B$7)</f>
        <v>118459.372173502</v>
      </c>
      <c r="E12" s="146">
        <f>G12+M12+S12</f>
        <v>12703.1120892979</v>
      </c>
      <c r="F12" s="147">
        <f>J12+P12+V12</f>
        <v>0</v>
      </c>
      <c r="G12" s="148">
        <f>IF(B12&gt;=Objetivos!$B$11,0,IF(B12=1,Objetivos!$E$19*12+Objetivos!$C$19+Objetivos!$D$19,Objetivos!$E$19*12*(1+Objetivos!$B$9)^(B12-1)))</f>
        <v>5135.30063184384</v>
      </c>
      <c r="H12" s="149">
        <f>MAX(0,(H11-K11)*(1+Objetivos!$B$19)+G12)</f>
        <v>26571.9142083953</v>
      </c>
      <c r="I12" s="148">
        <f>MAX(0,I11-IF(H11=0,0,J11*I11/H11)+G12)</f>
        <v>24235.2735335067</v>
      </c>
      <c r="J12" s="150">
        <f>MIN(H12,SUMIFS(Objetivos!$I$26:$I$45,Objetivos!$E$26:$E$45,B12,Objetivos!$C$26:$C$45,"Único",Objetivos!$B$26:$B$45,Objetivos!$A$19)+SUMPRODUCT(((Objetivos!$C$26:$C$45="Renta")+(Objetivos!$C$26:$C$45="Jubilación"))*(Objetivos!$B$26:$B$45=Objetivos!$A$19)*(B12&gt;=Objetivos!$E$26:$E$45)*(B12&lt;Objetivos!$E$26:$E$45+Objetivos!$H$26:$H$45)*Objetivos!$G$26:$G$45)*12*(1+Objetivos!$B$6)^B12)</f>
        <v>0</v>
      </c>
      <c r="K12" s="148">
        <f>J12+IF(H12=0,0,J12*MAX(0,H12-I12)/H12)*Objetivos!$B$7</f>
        <v>0</v>
      </c>
      <c r="L12" s="151">
        <f>MAX(0,SUMIFS(Objetivos!$I$26:$I$45,Objetivos!$E$26:$E$45,B12,Objetivos!$C$26:$C$45,"Único",Objetivos!$B$26:$B$45,Objetivos!$A$19)+SUMPRODUCT(((Objetivos!$C$26:$C$45="Renta")+(Objetivos!$C$26:$C$45="Jubilación"))*(Objetivos!$B$26:$B$45=Objetivos!$A$19)*(B12&gt;=Objetivos!$E$26:$E$45)*(B12&lt;Objetivos!$E$26:$E$45+Objetivos!$H$26:$H$45)*Objetivos!$G$26:$G$45)*12*(1+Objetivos!$B$6)^B12-H12)</f>
        <v>0</v>
      </c>
      <c r="M12" s="148">
        <f>IF(B12&gt;=Objetivos!$B$11,0,IF(B12=1,Objetivos!$E$20*12+Objetivos!$C$20+Objetivos!$D$20,Objetivos!$E$20*12*(1+Objetivos!$B$9)^(B12-1)))</f>
        <v>5540.71910277888</v>
      </c>
      <c r="N12" s="149">
        <f>MAX(0,(N11-Q11)*(1+Objetivos!$B$20)+M12)</f>
        <v>69191.5287556839</v>
      </c>
      <c r="O12" s="148">
        <f>MAX(0,O11-IF(N11=0,0,P11*O11/N11)+M12)</f>
        <v>54576.6742417229</v>
      </c>
      <c r="P12" s="150">
        <f>MIN(N12,SUMIFS(Objetivos!$I$26:$I$45,Objetivos!$E$26:$E$45,B12,Objetivos!$C$26:$C$45,"Único",Objetivos!$B$26:$B$45,Objetivos!$A$20)+SUMPRODUCT(((Objetivos!$C$26:$C$45="Renta")+(Objetivos!$C$26:$C$45="Jubilación"))*(Objetivos!$B$26:$B$45=Objetivos!$A$20)*(B12&gt;=Objetivos!$E$26:$E$45)*(B12&lt;Objetivos!$E$26:$E$45+Objetivos!$H$26:$H$45)*Objetivos!$G$26:$G$45)*12*(1+Objetivos!$B$6)^B12)</f>
        <v>0</v>
      </c>
      <c r="Q12" s="148">
        <f>P12+IF(N12=0,0,P12*MAX(0,N12-O12)/N12)*Objetivos!$B$7</f>
        <v>0</v>
      </c>
      <c r="R12" s="151">
        <f>MAX(0,SUMIFS(Objetivos!$I$26:$I$45,Objetivos!$E$26:$E$45,B12,Objetivos!$C$26:$C$45,"Único",Objetivos!$B$26:$B$45,Objetivos!$A$20)+SUMPRODUCT(((Objetivos!$C$26:$C$45="Renta")+(Objetivos!$C$26:$C$45="Jubilación"))*(Objetivos!$B$26:$B$45=Objetivos!$A$20)*(B12&gt;=Objetivos!$E$26:$E$45)*(B12&lt;Objetivos!$E$26:$E$45+Objetivos!$H$26:$H$45)*Objetivos!$G$26:$G$45)*12*(1+Objetivos!$B$6)^B12-N12)</f>
        <v>0</v>
      </c>
      <c r="S12" s="148">
        <f>IF(B12&gt;=Objetivos!$B$11,0,IF(B12=1,Objetivos!$E$21*12+Objetivos!$C$21+Objetivos!$D$21,Objetivos!$E$21*12*(1+Objetivos!$B$9)^(B12-1)))</f>
        <v>2027.0923546752</v>
      </c>
      <c r="T12" s="149">
        <f>MAX(0,(T11-W11)*(1+Objetivos!$B$21)+S12)</f>
        <v>27565.7460660432</v>
      </c>
      <c r="U12" s="148">
        <f>MAX(0,U11-IF(T11=0,0,V11*U11/T11)+S12)</f>
        <v>22381.7100884352</v>
      </c>
      <c r="V12" s="150">
        <f>MIN(T12,SUMIFS(Objetivos!$I$26:$I$45,Objetivos!$E$26:$E$45,B12,Objetivos!$C$26:$C$45,"Único",Objetivos!$B$26:$B$45,Objetivos!$A$21)+SUMPRODUCT(((Objetivos!$C$26:$C$45="Renta")+(Objetivos!$C$26:$C$45="Jubilación"))*(Objetivos!$B$26:$B$45=Objetivos!$A$21)*(B12&gt;=Objetivos!$E$26:$E$45)*(B12&lt;Objetivos!$E$26:$E$45+Objetivos!$H$26:$H$45)*Objetivos!$G$26:$G$45)*12*(1+Objetivos!$B$6)^B12)</f>
        <v>0</v>
      </c>
      <c r="W12" s="148">
        <f>V12+IF(T12=0,0,V12*MAX(0,T12-U12)/T12)*Objetivos!$B$7</f>
        <v>0</v>
      </c>
      <c r="X12" s="151">
        <f>MAX(0,SUMIFS(Objetivos!$I$26:$I$45,Objetivos!$E$26:$E$45,B12,Objetivos!$C$26:$C$45,"Único",Objetivos!$B$26:$B$45,Objetivos!$A$21)+SUMPRODUCT(((Objetivos!$C$26:$C$45="Renta")+(Objetivos!$C$26:$C$45="Jubilación"))*(Objetivos!$B$26:$B$45=Objetivos!$A$21)*(B12&gt;=Objetivos!$E$26:$E$45)*(B12&lt;Objetivos!$E$26:$E$45+Objetivos!$H$26:$H$45)*Objetivos!$G$26:$G$45)*12*(1+Objetivos!$B$6)^B12-T12)</f>
        <v>0</v>
      </c>
    </row>
    <row r="13">
      <c r="A13" s="152">
        <f>Objetivos!$B$5+B13</f>
        <v>2034</v>
      </c>
      <c r="B13" s="153" t="n">
        <v>8</v>
      </c>
      <c r="C13" s="154">
        <f>H13+N13+T13</f>
        <v>142746.159387143</v>
      </c>
      <c r="D13" s="154">
        <f>(H13-MAX(0,H13-I13)*Objetivos!$B$7)+(N13-MAX(0,N13-O13)*Objetivos!$B$7)+(T13-MAX(0,T13-U13)*Objetivos!$B$7)</f>
        <v>136455.187404816</v>
      </c>
      <c r="E13" s="155">
        <f>G13+M13+S13</f>
        <v>12957.1743310839</v>
      </c>
      <c r="F13" s="156">
        <f>J13+P13+V13</f>
        <v>0</v>
      </c>
      <c r="G13" s="157">
        <f>IF(B13&gt;=Objetivos!$B$11,0,IF(B13=1,Objetivos!$E$19*12+Objetivos!$C$19+Objetivos!$D$19,Objetivos!$E$19*12*(1+Objetivos!$B$9)^(B13-1)))</f>
        <v>5238.00664448072</v>
      </c>
      <c r="H13" s="158">
        <f>MAX(0,(H12-K12)*(1+Objetivos!$B$19)+G13)</f>
        <v>32739.9378501699</v>
      </c>
      <c r="I13" s="157">
        <f>MAX(0,I12-IF(H12=0,0,J12*I12/H12)+G13)</f>
        <v>29473.2801779874</v>
      </c>
      <c r="J13" s="159">
        <f>MIN(H13,SUMIFS(Objetivos!$I$26:$I$45,Objetivos!$E$26:$E$45,B13,Objetivos!$C$26:$C$45,"Único",Objetivos!$B$26:$B$45,Objetivos!$A$19)+SUMPRODUCT(((Objetivos!$C$26:$C$45="Renta")+(Objetivos!$C$26:$C$45="Jubilación"))*(Objetivos!$B$26:$B$45=Objetivos!$A$19)*(B13&gt;=Objetivos!$E$26:$E$45)*(B13&lt;Objetivos!$E$26:$E$45+Objetivos!$H$26:$H$45)*Objetivos!$G$26:$G$45)*12*(1+Objetivos!$B$6)^B13)</f>
        <v>0</v>
      </c>
      <c r="K13" s="157">
        <f>J13+IF(H13=0,0,J13*MAX(0,H13-I13)/H13)*Objetivos!$B$7</f>
        <v>0</v>
      </c>
      <c r="L13" s="160">
        <f>MAX(0,SUMIFS(Objetivos!$I$26:$I$45,Objetivos!$E$26:$E$45,B13,Objetivos!$C$26:$C$45,"Único",Objetivos!$B$26:$B$45,Objetivos!$A$19)+SUMPRODUCT(((Objetivos!$C$26:$C$45="Renta")+(Objetivos!$C$26:$C$45="Jubilación"))*(Objetivos!$B$26:$B$45=Objetivos!$A$19)*(B13&gt;=Objetivos!$E$26:$E$45)*(B13&lt;Objetivos!$E$26:$E$45+Objetivos!$H$26:$H$45)*Objetivos!$G$26:$G$45)*12*(1+Objetivos!$B$6)^B13-H13)</f>
        <v>0</v>
      </c>
      <c r="M13" s="157">
        <f>IF(B13&gt;=Objetivos!$B$11,0,IF(B13=1,Objetivos!$E$20*12+Objetivos!$C$20+Objetivos!$D$20,Objetivos!$E$20*12*(1+Objetivos!$B$9)^(B13-1)))</f>
        <v>5651.53348483446</v>
      </c>
      <c r="N13" s="158">
        <f>MAX(0,(N12-Q12)*(1+Objetivos!$B$20)+M13)</f>
        <v>78994.5539658594</v>
      </c>
      <c r="O13" s="157">
        <f>MAX(0,O12-IF(N12=0,0,P12*O12/N12)+M13)</f>
        <v>60228.2077265573</v>
      </c>
      <c r="P13" s="159">
        <f>MIN(N13,SUMIFS(Objetivos!$I$26:$I$45,Objetivos!$E$26:$E$45,B13,Objetivos!$C$26:$C$45,"Único",Objetivos!$B$26:$B$45,Objetivos!$A$20)+SUMPRODUCT(((Objetivos!$C$26:$C$45="Renta")+(Objetivos!$C$26:$C$45="Jubilación"))*(Objetivos!$B$26:$B$45=Objetivos!$A$20)*(B13&gt;=Objetivos!$E$26:$E$45)*(B13&lt;Objetivos!$E$26:$E$45+Objetivos!$H$26:$H$45)*Objetivos!$G$26:$G$45)*12*(1+Objetivos!$B$6)^B13)</f>
        <v>0</v>
      </c>
      <c r="Q13" s="157">
        <f>P13+IF(N13=0,0,P13*MAX(0,N13-O13)/N13)*Objetivos!$B$7</f>
        <v>0</v>
      </c>
      <c r="R13" s="160">
        <f>MAX(0,SUMIFS(Objetivos!$I$26:$I$45,Objetivos!$E$26:$E$45,B13,Objetivos!$C$26:$C$45,"Único",Objetivos!$B$26:$B$45,Objetivos!$A$20)+SUMPRODUCT(((Objetivos!$C$26:$C$45="Renta")+(Objetivos!$C$26:$C$45="Jubilación"))*(Objetivos!$B$26:$B$45=Objetivos!$A$20)*(B13&gt;=Objetivos!$E$26:$E$45)*(B13&lt;Objetivos!$E$26:$E$45+Objetivos!$H$26:$H$45)*Objetivos!$G$26:$G$45)*12*(1+Objetivos!$B$6)^B13-N13)</f>
        <v>0</v>
      </c>
      <c r="S13" s="157">
        <f>IF(B13&gt;=Objetivos!$B$11,0,IF(B13=1,Objetivos!$E$21*12+Objetivos!$C$21+Objetivos!$D$21,Objetivos!$E$21*12*(1+Objetivos!$B$9)^(B13-1)))</f>
        <v>2067.6342017687</v>
      </c>
      <c r="T13" s="158">
        <f>MAX(0,(T12-W12)*(1+Objetivos!$B$21)+S13)</f>
        <v>31011.6675711141</v>
      </c>
      <c r="U13" s="157">
        <f>MAX(0,U12-IF(T12=0,0,V12*U12/T12)+S13)</f>
        <v>24449.3442902039</v>
      </c>
      <c r="V13" s="159">
        <f>MIN(T13,SUMIFS(Objetivos!$I$26:$I$45,Objetivos!$E$26:$E$45,B13,Objetivos!$C$26:$C$45,"Único",Objetivos!$B$26:$B$45,Objetivos!$A$21)+SUMPRODUCT(((Objetivos!$C$26:$C$45="Renta")+(Objetivos!$C$26:$C$45="Jubilación"))*(Objetivos!$B$26:$B$45=Objetivos!$A$21)*(B13&gt;=Objetivos!$E$26:$E$45)*(B13&lt;Objetivos!$E$26:$E$45+Objetivos!$H$26:$H$45)*Objetivos!$G$26:$G$45)*12*(1+Objetivos!$B$6)^B13)</f>
        <v>0</v>
      </c>
      <c r="W13" s="157">
        <f>V13+IF(T13=0,0,V13*MAX(0,T13-U13)/T13)*Objetivos!$B$7</f>
        <v>0</v>
      </c>
      <c r="X13" s="160">
        <f>MAX(0,SUMIFS(Objetivos!$I$26:$I$45,Objetivos!$E$26:$E$45,B13,Objetivos!$C$26:$C$45,"Único",Objetivos!$B$26:$B$45,Objetivos!$A$21)+SUMPRODUCT(((Objetivos!$C$26:$C$45="Renta")+(Objetivos!$C$26:$C$45="Jubilación"))*(Objetivos!$B$26:$B$45=Objetivos!$A$21)*(B13&gt;=Objetivos!$E$26:$E$45)*(B13&lt;Objetivos!$E$26:$E$45+Objetivos!$H$26:$H$45)*Objetivos!$G$26:$G$45)*12*(1+Objetivos!$B$6)^B13-T13)</f>
        <v>0</v>
      </c>
    </row>
    <row r="14">
      <c r="A14" s="144">
        <f>Objetivos!$B$5+B14</f>
        <v>2035</v>
      </c>
      <c r="B14" s="145" t="n">
        <v>9</v>
      </c>
      <c r="C14" s="126">
        <f>H14+N14+T14</f>
        <v>163398.631646112</v>
      </c>
      <c r="D14" s="126">
        <f>(H14-MAX(0,H14-I14)*Objetivos!$B$7)+(N14-MAX(0,N14-O14)*Objetivos!$B$7)+(T14-MAX(0,T14-U14)*Objetivos!$B$7)</f>
        <v>155471.705686707</v>
      </c>
      <c r="E14" s="146">
        <f>G14+M14+S14</f>
        <v>13216.3178177056</v>
      </c>
      <c r="F14" s="147">
        <f>J14+P14+V14</f>
        <v>9990.90375958132</v>
      </c>
      <c r="G14" s="148">
        <f>IF(B14&gt;=Objetivos!$B$11,0,IF(B14=1,Objetivos!$E$19*12+Objetivos!$C$19+Objetivos!$D$19,Objetivos!$E$19*12*(1+Objetivos!$B$9)^(B14-1)))</f>
        <v>5342.76677737033</v>
      </c>
      <c r="H14" s="149">
        <f>MAX(0,(H13-K13)*(1+Objetivos!$B$19)+G14)</f>
        <v>39228.6024522961</v>
      </c>
      <c r="I14" s="148">
        <f>MAX(0,I13-IF(H13=0,0,J13*I13/H13)+G14)</f>
        <v>34816.0469553577</v>
      </c>
      <c r="J14" s="150">
        <f>MIN(H14,SUMIFS(Objetivos!$I$26:$I$45,Objetivos!$E$26:$E$45,B14,Objetivos!$C$26:$C$45,"Único",Objetivos!$B$26:$B$45,Objetivos!$A$19)+SUMPRODUCT(((Objetivos!$C$26:$C$45="Renta")+(Objetivos!$C$26:$C$45="Jubilación"))*(Objetivos!$B$26:$B$45=Objetivos!$A$19)*(B14&gt;=Objetivos!$E$26:$E$45)*(B14&lt;Objetivos!$E$26:$E$45+Objetivos!$H$26:$H$45)*Objetivos!$G$26:$G$45)*12*(1+Objetivos!$B$6)^B14)</f>
        <v>9990.90375958132</v>
      </c>
      <c r="K14" s="148">
        <f>J14+IF(H14=0,0,J14*MAX(0,H14-I14)/H14)*Objetivos!$B$7</f>
        <v>10238.1415198001</v>
      </c>
      <c r="L14" s="151">
        <f>MAX(0,SUMIFS(Objetivos!$I$26:$I$45,Objetivos!$E$26:$E$45,B14,Objetivos!$C$26:$C$45,"Único",Objetivos!$B$26:$B$45,Objetivos!$A$19)+SUMPRODUCT(((Objetivos!$C$26:$C$45="Renta")+(Objetivos!$C$26:$C$45="Jubilación"))*(Objetivos!$B$26:$B$45=Objetivos!$A$19)*(B14&gt;=Objetivos!$E$26:$E$45)*(B14&lt;Objetivos!$E$26:$E$45+Objetivos!$H$26:$H$45)*Objetivos!$G$26:$G$45)*12*(1+Objetivos!$B$6)^B14-H14)</f>
        <v>0</v>
      </c>
      <c r="M14" s="148">
        <f>IF(B14&gt;=Objetivos!$B$11,0,IF(B14=1,Objetivos!$E$20*12+Objetivos!$C$20+Objetivos!$D$20,Objetivos!$E$20*12*(1+Objetivos!$B$9)^(B14-1)))</f>
        <v>5764.56415453115</v>
      </c>
      <c r="N14" s="149">
        <f>MAX(0,(N13-Q13)*(1+Objetivos!$B$20)+M14)</f>
        <v>89498.7913583421</v>
      </c>
      <c r="O14" s="148">
        <f>MAX(0,O13-IF(N13=0,0,P13*O13/N13)+M14)</f>
        <v>65992.7718810885</v>
      </c>
      <c r="P14" s="150">
        <f>MIN(N14,SUMIFS(Objetivos!$I$26:$I$45,Objetivos!$E$26:$E$45,B14,Objetivos!$C$26:$C$45,"Único",Objetivos!$B$26:$B$45,Objetivos!$A$20)+SUMPRODUCT(((Objetivos!$C$26:$C$45="Renta")+(Objetivos!$C$26:$C$45="Jubilación"))*(Objetivos!$B$26:$B$45=Objetivos!$A$20)*(B14&gt;=Objetivos!$E$26:$E$45)*(B14&lt;Objetivos!$E$26:$E$45+Objetivos!$H$26:$H$45)*Objetivos!$G$26:$G$45)*12*(1+Objetivos!$B$6)^B14)</f>
        <v>0</v>
      </c>
      <c r="Q14" s="148">
        <f>P14+IF(N14=0,0,P14*MAX(0,N14-O14)/N14)*Objetivos!$B$7</f>
        <v>0</v>
      </c>
      <c r="R14" s="151">
        <f>MAX(0,SUMIFS(Objetivos!$I$26:$I$45,Objetivos!$E$26:$E$45,B14,Objetivos!$C$26:$C$45,"Único",Objetivos!$B$26:$B$45,Objetivos!$A$20)+SUMPRODUCT(((Objetivos!$C$26:$C$45="Renta")+(Objetivos!$C$26:$C$45="Jubilación"))*(Objetivos!$B$26:$B$45=Objetivos!$A$20)*(B14&gt;=Objetivos!$E$26:$E$45)*(B14&lt;Objetivos!$E$26:$E$45+Objetivos!$H$26:$H$45)*Objetivos!$G$26:$G$45)*12*(1+Objetivos!$B$6)^B14-N14)</f>
        <v>0</v>
      </c>
      <c r="S14" s="148">
        <f>IF(B14&gt;=Objetivos!$B$11,0,IF(B14=1,Objetivos!$E$21*12+Objetivos!$C$21+Objetivos!$D$21,Objetivos!$E$21*12*(1+Objetivos!$B$9)^(B14-1)))</f>
        <v>2108.98688580408</v>
      </c>
      <c r="T14" s="149">
        <f>MAX(0,(T13-W13)*(1+Objetivos!$B$21)+S14)</f>
        <v>34671.2378354739</v>
      </c>
      <c r="U14" s="148">
        <f>MAX(0,U13-IF(T13=0,0,V13*U13/T13)+S14)</f>
        <v>26558.331176008</v>
      </c>
      <c r="V14" s="150">
        <f>MIN(T14,SUMIFS(Objetivos!$I$26:$I$45,Objetivos!$E$26:$E$45,B14,Objetivos!$C$26:$C$45,"Único",Objetivos!$B$26:$B$45,Objetivos!$A$21)+SUMPRODUCT(((Objetivos!$C$26:$C$45="Renta")+(Objetivos!$C$26:$C$45="Jubilación"))*(Objetivos!$B$26:$B$45=Objetivos!$A$21)*(B14&gt;=Objetivos!$E$26:$E$45)*(B14&lt;Objetivos!$E$26:$E$45+Objetivos!$H$26:$H$45)*Objetivos!$G$26:$G$45)*12*(1+Objetivos!$B$6)^B14)</f>
        <v>0</v>
      </c>
      <c r="W14" s="148">
        <f>V14+IF(T14=0,0,V14*MAX(0,T14-U14)/T14)*Objetivos!$B$7</f>
        <v>0</v>
      </c>
      <c r="X14" s="151">
        <f>MAX(0,SUMIFS(Objetivos!$I$26:$I$45,Objetivos!$E$26:$E$45,B14,Objetivos!$C$26:$C$45,"Único",Objetivos!$B$26:$B$45,Objetivos!$A$21)+SUMPRODUCT(((Objetivos!$C$26:$C$45="Renta")+(Objetivos!$C$26:$C$45="Jubilación"))*(Objetivos!$B$26:$B$45=Objetivos!$A$21)*(B14&gt;=Objetivos!$E$26:$E$45)*(B14&lt;Objetivos!$E$26:$E$45+Objetivos!$H$26:$H$45)*Objetivos!$G$26:$G$45)*12*(1+Objetivos!$B$6)^B14-T14)</f>
        <v>0</v>
      </c>
    </row>
    <row r="15">
      <c r="A15" s="152">
        <f>Objetivos!$B$5+B15</f>
        <v>2036</v>
      </c>
      <c r="B15" s="153" t="n">
        <v>10</v>
      </c>
      <c r="C15" s="154">
        <f>H15+N15+T15</f>
        <v>174759.289806283</v>
      </c>
      <c r="D15" s="154">
        <f>(H15-MAX(0,H15-I15)*Objetivos!$B$7)+(N15-MAX(0,N15-O15)*Objetivos!$B$7)+(T15-MAX(0,T15-U15)*Objetivos!$B$7)</f>
        <v>165347.999703045</v>
      </c>
      <c r="E15" s="155">
        <f>G15+M15+S15</f>
        <v>13480.6441740597</v>
      </c>
      <c r="F15" s="156">
        <f>J15+P15+V15</f>
        <v>0</v>
      </c>
      <c r="G15" s="157">
        <f>IF(B15&gt;=Objetivos!$B$11,0,IF(B15=1,Objetivos!$E$19*12+Objetivos!$C$19+Objetivos!$D$19,Objetivos!$E$19*12*(1+Objetivos!$B$9)^(B15-1)))</f>
        <v>5449.62211291774</v>
      </c>
      <c r="H15" s="158">
        <f>MAX(0,(H14-K14)*(1+Objetivos!$B$19)+G15)</f>
        <v>35454.7491780511</v>
      </c>
      <c r="I15" s="157">
        <f>MAX(0,I14-IF(H14=0,0,J14*I14/H14)+G15)</f>
        <v>31398.5733096886</v>
      </c>
      <c r="J15" s="159">
        <f>MIN(H15,SUMIFS(Objetivos!$I$26:$I$45,Objetivos!$E$26:$E$45,B15,Objetivos!$C$26:$C$45,"Único",Objetivos!$B$26:$B$45,Objetivos!$A$19)+SUMPRODUCT(((Objetivos!$C$26:$C$45="Renta")+(Objetivos!$C$26:$C$45="Jubilación"))*(Objetivos!$B$26:$B$45=Objetivos!$A$19)*(B15&gt;=Objetivos!$E$26:$E$45)*(B15&lt;Objetivos!$E$26:$E$45+Objetivos!$H$26:$H$45)*Objetivos!$G$26:$G$45)*12*(1+Objetivos!$B$6)^B15)</f>
        <v>0</v>
      </c>
      <c r="K15" s="157">
        <f>J15+IF(H15=0,0,J15*MAX(0,H15-I15)/H15)*Objetivos!$B$7</f>
        <v>0</v>
      </c>
      <c r="L15" s="160">
        <f>MAX(0,SUMIFS(Objetivos!$I$26:$I$45,Objetivos!$E$26:$E$45,B15,Objetivos!$C$26:$C$45,"Único",Objetivos!$B$26:$B$45,Objetivos!$A$19)+SUMPRODUCT(((Objetivos!$C$26:$C$45="Renta")+(Objetivos!$C$26:$C$45="Jubilación"))*(Objetivos!$B$26:$B$45=Objetivos!$A$19)*(B15&gt;=Objetivos!$E$26:$E$45)*(B15&lt;Objetivos!$E$26:$E$45+Objetivos!$H$26:$H$45)*Objetivos!$G$26:$G$45)*12*(1+Objetivos!$B$6)^B15-H15)</f>
        <v>0</v>
      </c>
      <c r="M15" s="157">
        <f>IF(B15&gt;=Objetivos!$B$11,0,IF(B15=1,Objetivos!$E$20*12+Objetivos!$C$20+Objetivos!$D$20,Objetivos!$E$20*12*(1+Objetivos!$B$9)^(B15-1)))</f>
        <v>5879.85543762177</v>
      </c>
      <c r="N15" s="158">
        <f>MAX(0,(N14-Q14)*(1+Objetivos!$B$20)+M15)</f>
        <v>100748.574277464</v>
      </c>
      <c r="O15" s="157">
        <f>MAX(0,O14-IF(N14=0,0,P14*O14/N14)+M15)</f>
        <v>71872.6273187103</v>
      </c>
      <c r="P15" s="159">
        <f>MIN(N15,SUMIFS(Objetivos!$I$26:$I$45,Objetivos!$E$26:$E$45,B15,Objetivos!$C$26:$C$45,"Único",Objetivos!$B$26:$B$45,Objetivos!$A$20)+SUMPRODUCT(((Objetivos!$C$26:$C$45="Renta")+(Objetivos!$C$26:$C$45="Jubilación"))*(Objetivos!$B$26:$B$45=Objetivos!$A$20)*(B15&gt;=Objetivos!$E$26:$E$45)*(B15&lt;Objetivos!$E$26:$E$45+Objetivos!$H$26:$H$45)*Objetivos!$G$26:$G$45)*12*(1+Objetivos!$B$6)^B15)</f>
        <v>0</v>
      </c>
      <c r="Q15" s="157">
        <f>P15+IF(N15=0,0,P15*MAX(0,N15-O15)/N15)*Objetivos!$B$7</f>
        <v>0</v>
      </c>
      <c r="R15" s="160">
        <f>MAX(0,SUMIFS(Objetivos!$I$26:$I$45,Objetivos!$E$26:$E$45,B15,Objetivos!$C$26:$C$45,"Único",Objetivos!$B$26:$B$45,Objetivos!$A$20)+SUMPRODUCT(((Objetivos!$C$26:$C$45="Renta")+(Objetivos!$C$26:$C$45="Jubilación"))*(Objetivos!$B$26:$B$45=Objetivos!$A$20)*(B15&gt;=Objetivos!$E$26:$E$45)*(B15&lt;Objetivos!$E$26:$E$45+Objetivos!$H$26:$H$45)*Objetivos!$G$26:$G$45)*12*(1+Objetivos!$B$6)^B15-N15)</f>
        <v>0</v>
      </c>
      <c r="S15" s="157">
        <f>IF(B15&gt;=Objetivos!$B$11,0,IF(B15=1,Objetivos!$E$21*12+Objetivos!$C$21+Objetivos!$D$21,Objetivos!$E$21*12*(1+Objetivos!$B$9)^(B15-1)))</f>
        <v>2151.16662352016</v>
      </c>
      <c r="T15" s="158">
        <f>MAX(0,(T14-W14)*(1+Objetivos!$B$21)+S15)</f>
        <v>38555.9663507677</v>
      </c>
      <c r="U15" s="157">
        <f>MAX(0,U14-IF(T14=0,0,V14*U14/T14)+S15)</f>
        <v>28709.4977995281</v>
      </c>
      <c r="V15" s="159">
        <f>MIN(T15,SUMIFS(Objetivos!$I$26:$I$45,Objetivos!$E$26:$E$45,B15,Objetivos!$C$26:$C$45,"Único",Objetivos!$B$26:$B$45,Objetivos!$A$21)+SUMPRODUCT(((Objetivos!$C$26:$C$45="Renta")+(Objetivos!$C$26:$C$45="Jubilación"))*(Objetivos!$B$26:$B$45=Objetivos!$A$21)*(B15&gt;=Objetivos!$E$26:$E$45)*(B15&lt;Objetivos!$E$26:$E$45+Objetivos!$H$26:$H$45)*Objetivos!$G$26:$G$45)*12*(1+Objetivos!$B$6)^B15)</f>
        <v>0</v>
      </c>
      <c r="W15" s="157">
        <f>V15+IF(T15=0,0,V15*MAX(0,T15-U15)/T15)*Objetivos!$B$7</f>
        <v>0</v>
      </c>
      <c r="X15" s="160">
        <f>MAX(0,SUMIFS(Objetivos!$I$26:$I$45,Objetivos!$E$26:$E$45,B15,Objetivos!$C$26:$C$45,"Único",Objetivos!$B$26:$B$45,Objetivos!$A$21)+SUMPRODUCT(((Objetivos!$C$26:$C$45="Renta")+(Objetivos!$C$26:$C$45="Jubilación"))*(Objetivos!$B$26:$B$45=Objetivos!$A$21)*(B15&gt;=Objetivos!$E$26:$E$45)*(B15&lt;Objetivos!$E$26:$E$45+Objetivos!$H$26:$H$45)*Objetivos!$G$26:$G$45)*12*(1+Objetivos!$B$6)^B15-T15)</f>
        <v>0</v>
      </c>
    </row>
    <row r="16">
      <c r="A16" s="144">
        <f>Objetivos!$B$5+B16</f>
        <v>2037</v>
      </c>
      <c r="B16" s="145" t="n">
        <v>11</v>
      </c>
      <c r="C16" s="126">
        <f>H16+N16+T16</f>
        <v>197723.175859242</v>
      </c>
      <c r="D16" s="126">
        <f>(H16-MAX(0,H16-I16)*Objetivos!$B$7)+(N16-MAX(0,N16-O16)*Objetivos!$B$7)+(T16-MAX(0,T16-U16)*Objetivos!$B$7)</f>
        <v>186284.887377012</v>
      </c>
      <c r="E16" s="146">
        <f>G16+M16+S16</f>
        <v>13750.2570575409</v>
      </c>
      <c r="F16" s="147">
        <f>J16+P16+V16</f>
        <v>0</v>
      </c>
      <c r="G16" s="148">
        <f>IF(B16&gt;=Objetivos!$B$11,0,IF(B16=1,Objetivos!$E$19*12+Objetivos!$C$19+Objetivos!$D$19,Objetivos!$E$19*12*(1+Objetivos!$B$9)^(B16-1)))</f>
        <v>5558.61455517609</v>
      </c>
      <c r="H16" s="149">
        <f>MAX(0,(H15-K15)*(1+Objetivos!$B$19)+G16)</f>
        <v>42254.279954459</v>
      </c>
      <c r="I16" s="148">
        <f>MAX(0,I15-IF(H15=0,0,J15*I15/H15)+G16)</f>
        <v>36957.1878648647</v>
      </c>
      <c r="J16" s="150">
        <f>MIN(H16,SUMIFS(Objetivos!$I$26:$I$45,Objetivos!$E$26:$E$45,B16,Objetivos!$C$26:$C$45,"Único",Objetivos!$B$26:$B$45,Objetivos!$A$19)+SUMPRODUCT(((Objetivos!$C$26:$C$45="Renta")+(Objetivos!$C$26:$C$45="Jubilación"))*(Objetivos!$B$26:$B$45=Objetivos!$A$19)*(B16&gt;=Objetivos!$E$26:$E$45)*(B16&lt;Objetivos!$E$26:$E$45+Objetivos!$H$26:$H$45)*Objetivos!$G$26:$G$45)*12*(1+Objetivos!$B$6)^B16)</f>
        <v>0</v>
      </c>
      <c r="K16" s="148">
        <f>J16+IF(H16=0,0,J16*MAX(0,H16-I16)/H16)*Objetivos!$B$7</f>
        <v>0</v>
      </c>
      <c r="L16" s="151">
        <f>MAX(0,SUMIFS(Objetivos!$I$26:$I$45,Objetivos!$E$26:$E$45,B16,Objetivos!$C$26:$C$45,"Único",Objetivos!$B$26:$B$45,Objetivos!$A$19)+SUMPRODUCT(((Objetivos!$C$26:$C$45="Renta")+(Objetivos!$C$26:$C$45="Jubilación"))*(Objetivos!$B$26:$B$45=Objetivos!$A$19)*(B16&gt;=Objetivos!$E$26:$E$45)*(B16&lt;Objetivos!$E$26:$E$45+Objetivos!$H$26:$H$45)*Objetivos!$G$26:$G$45)*12*(1+Objetivos!$B$6)^B16-H16)</f>
        <v>0</v>
      </c>
      <c r="M16" s="148">
        <f>IF(B16&gt;=Objetivos!$B$11,0,IF(B16=1,Objetivos!$E$20*12+Objetivos!$C$20+Objetivos!$D$20,Objetivos!$E$20*12*(1+Objetivos!$B$9)^(B16-1)))</f>
        <v>5997.45254637421</v>
      </c>
      <c r="N16" s="149">
        <f>MAX(0,(N15-Q15)*(1+Objetivos!$B$20)+M16)</f>
        <v>112790.941280486</v>
      </c>
      <c r="O16" s="148">
        <f>MAX(0,O15-IF(N15=0,0,P15*O15/N15)+M16)</f>
        <v>77870.0798650845</v>
      </c>
      <c r="P16" s="150">
        <f>MIN(N16,SUMIFS(Objetivos!$I$26:$I$45,Objetivos!$E$26:$E$45,B16,Objetivos!$C$26:$C$45,"Único",Objetivos!$B$26:$B$45,Objetivos!$A$20)+SUMPRODUCT(((Objetivos!$C$26:$C$45="Renta")+(Objetivos!$C$26:$C$45="Jubilación"))*(Objetivos!$B$26:$B$45=Objetivos!$A$20)*(B16&gt;=Objetivos!$E$26:$E$45)*(B16&lt;Objetivos!$E$26:$E$45+Objetivos!$H$26:$H$45)*Objetivos!$G$26:$G$45)*12*(1+Objetivos!$B$6)^B16)</f>
        <v>0</v>
      </c>
      <c r="Q16" s="148">
        <f>P16+IF(N16=0,0,P16*MAX(0,N16-O16)/N16)*Objetivos!$B$7</f>
        <v>0</v>
      </c>
      <c r="R16" s="151">
        <f>MAX(0,SUMIFS(Objetivos!$I$26:$I$45,Objetivos!$E$26:$E$45,B16,Objetivos!$C$26:$C$45,"Único",Objetivos!$B$26:$B$45,Objetivos!$A$20)+SUMPRODUCT(((Objetivos!$C$26:$C$45="Renta")+(Objetivos!$C$26:$C$45="Jubilación"))*(Objetivos!$B$26:$B$45=Objetivos!$A$20)*(B16&gt;=Objetivos!$E$26:$E$45)*(B16&lt;Objetivos!$E$26:$E$45+Objetivos!$H$26:$H$45)*Objetivos!$G$26:$G$45)*12*(1+Objetivos!$B$6)^B16-N16)</f>
        <v>0</v>
      </c>
      <c r="S16" s="148">
        <f>IF(B16&gt;=Objetivos!$B$11,0,IF(B16=1,Objetivos!$E$21*12+Objetivos!$C$21+Objetivos!$D$21,Objetivos!$E$21*12*(1+Objetivos!$B$9)^(B16-1)))</f>
        <v>2194.18995599056</v>
      </c>
      <c r="T16" s="149">
        <f>MAX(0,(T15-W15)*(1+Objetivos!$B$21)+S16)</f>
        <v>42677.9546242967</v>
      </c>
      <c r="U16" s="148">
        <f>MAX(0,U15-IF(T15=0,0,V15*U15/T15)+S16)</f>
        <v>30903.6877555187</v>
      </c>
      <c r="V16" s="150">
        <f>MIN(T16,SUMIFS(Objetivos!$I$26:$I$45,Objetivos!$E$26:$E$45,B16,Objetivos!$C$26:$C$45,"Único",Objetivos!$B$26:$B$45,Objetivos!$A$21)+SUMPRODUCT(((Objetivos!$C$26:$C$45="Renta")+(Objetivos!$C$26:$C$45="Jubilación"))*(Objetivos!$B$26:$B$45=Objetivos!$A$21)*(B16&gt;=Objetivos!$E$26:$E$45)*(B16&lt;Objetivos!$E$26:$E$45+Objetivos!$H$26:$H$45)*Objetivos!$G$26:$G$45)*12*(1+Objetivos!$B$6)^B16)</f>
        <v>0</v>
      </c>
      <c r="W16" s="148">
        <f>V16+IF(T16=0,0,V16*MAX(0,T16-U16)/T16)*Objetivos!$B$7</f>
        <v>0</v>
      </c>
      <c r="X16" s="151">
        <f>MAX(0,SUMIFS(Objetivos!$I$26:$I$45,Objetivos!$E$26:$E$45,B16,Objetivos!$C$26:$C$45,"Único",Objetivos!$B$26:$B$45,Objetivos!$A$21)+SUMPRODUCT(((Objetivos!$C$26:$C$45="Renta")+(Objetivos!$C$26:$C$45="Jubilación"))*(Objetivos!$B$26:$B$45=Objetivos!$A$21)*(B16&gt;=Objetivos!$E$26:$E$45)*(B16&lt;Objetivos!$E$26:$E$45+Objetivos!$H$26:$H$45)*Objetivos!$G$26:$G$45)*12*(1+Objetivos!$B$6)^B16-T16)</f>
        <v>0</v>
      </c>
    </row>
    <row r="17">
      <c r="A17" s="152">
        <f>Objetivos!$B$5+B17</f>
        <v>2038</v>
      </c>
      <c r="B17" s="153" t="n">
        <v>12</v>
      </c>
      <c r="C17" s="154">
        <f>H17+N17+T17</f>
        <v>222128.692064384</v>
      </c>
      <c r="D17" s="154">
        <f>(H17-MAX(0,H17-I17)*Objetivos!$B$7)+(N17-MAX(0,N17-O17)*Objetivos!$B$7)+(T17-MAX(0,T17-U17)*Objetivos!$B$7)</f>
        <v>208406.747700735</v>
      </c>
      <c r="E17" s="155">
        <f>G17+M17+S17</f>
        <v>14025.2621986917</v>
      </c>
      <c r="F17" s="156">
        <f>J17+P17+V17</f>
        <v>0</v>
      </c>
      <c r="G17" s="157">
        <f>IF(B17&gt;=Objetivos!$B$11,0,IF(B17=1,Objetivos!$E$19*12+Objetivos!$C$19+Objetivos!$D$19,Objetivos!$E$19*12*(1+Objetivos!$B$9)^(B17-1)))</f>
        <v>5669.78684627962</v>
      </c>
      <c r="H17" s="158">
        <f>MAX(0,(H16-K16)*(1+Objetivos!$B$19)+G17)</f>
        <v>49402.9665991447</v>
      </c>
      <c r="I17" s="157">
        <f>MAX(0,I16-IF(H16=0,0,J16*I16/H16)+G17)</f>
        <v>42626.9747111443</v>
      </c>
      <c r="J17" s="159">
        <f>MIN(H17,SUMIFS(Objetivos!$I$26:$I$45,Objetivos!$E$26:$E$45,B17,Objetivos!$C$26:$C$45,"Único",Objetivos!$B$26:$B$45,Objetivos!$A$19)+SUMPRODUCT(((Objetivos!$C$26:$C$45="Renta")+(Objetivos!$C$26:$C$45="Jubilación"))*(Objetivos!$B$26:$B$45=Objetivos!$A$19)*(B17&gt;=Objetivos!$E$26:$E$45)*(B17&lt;Objetivos!$E$26:$E$45+Objetivos!$H$26:$H$45)*Objetivos!$G$26:$G$45)*12*(1+Objetivos!$B$6)^B17)</f>
        <v>0</v>
      </c>
      <c r="K17" s="157">
        <f>J17+IF(H17=0,0,J17*MAX(0,H17-I17)/H17)*Objetivos!$B$7</f>
        <v>0</v>
      </c>
      <c r="L17" s="160">
        <f>MAX(0,SUMIFS(Objetivos!$I$26:$I$45,Objetivos!$E$26:$E$45,B17,Objetivos!$C$26:$C$45,"Único",Objetivos!$B$26:$B$45,Objetivos!$A$19)+SUMPRODUCT(((Objetivos!$C$26:$C$45="Renta")+(Objetivos!$C$26:$C$45="Jubilación"))*(Objetivos!$B$26:$B$45=Objetivos!$A$19)*(B17&gt;=Objetivos!$E$26:$E$45)*(B17&lt;Objetivos!$E$26:$E$45+Objetivos!$H$26:$H$45)*Objetivos!$G$26:$G$45)*12*(1+Objetivos!$B$6)^B17-H17)</f>
        <v>0</v>
      </c>
      <c r="M17" s="157">
        <f>IF(B17&gt;=Objetivos!$B$11,0,IF(B17=1,Objetivos!$E$20*12+Objetivos!$C$20+Objetivos!$D$20,Objetivos!$E$20*12*(1+Objetivos!$B$9)^(B17-1)))</f>
        <v>6117.40159730169</v>
      </c>
      <c r="N17" s="158">
        <f>MAX(0,(N16-Q16)*(1+Objetivos!$B$20)+M17)</f>
        <v>125675.799354617</v>
      </c>
      <c r="O17" s="157">
        <f>MAX(0,O16-IF(N16=0,0,P16*O16/N16)+M17)</f>
        <v>83987.4814623862</v>
      </c>
      <c r="P17" s="159">
        <f>MIN(N17,SUMIFS(Objetivos!$I$26:$I$45,Objetivos!$E$26:$E$45,B17,Objetivos!$C$26:$C$45,"Único",Objetivos!$B$26:$B$45,Objetivos!$A$20)+SUMPRODUCT(((Objetivos!$C$26:$C$45="Renta")+(Objetivos!$C$26:$C$45="Jubilación"))*(Objetivos!$B$26:$B$45=Objetivos!$A$20)*(B17&gt;=Objetivos!$E$26:$E$45)*(B17&lt;Objetivos!$E$26:$E$45+Objetivos!$H$26:$H$45)*Objetivos!$G$26:$G$45)*12*(1+Objetivos!$B$6)^B17)</f>
        <v>0</v>
      </c>
      <c r="Q17" s="157">
        <f>P17+IF(N17=0,0,P17*MAX(0,N17-O17)/N17)*Objetivos!$B$7</f>
        <v>0</v>
      </c>
      <c r="R17" s="160">
        <f>MAX(0,SUMIFS(Objetivos!$I$26:$I$45,Objetivos!$E$26:$E$45,B17,Objetivos!$C$26:$C$45,"Único",Objetivos!$B$26:$B$45,Objetivos!$A$20)+SUMPRODUCT(((Objetivos!$C$26:$C$45="Renta")+(Objetivos!$C$26:$C$45="Jubilación"))*(Objetivos!$B$26:$B$45=Objetivos!$A$20)*(B17&gt;=Objetivos!$E$26:$E$45)*(B17&lt;Objetivos!$E$26:$E$45+Objetivos!$H$26:$H$45)*Objetivos!$G$26:$G$45)*12*(1+Objetivos!$B$6)^B17-N17)</f>
        <v>0</v>
      </c>
      <c r="S17" s="157">
        <f>IF(B17&gt;=Objetivos!$B$11,0,IF(B17=1,Objetivos!$E$21*12+Objetivos!$C$21+Objetivos!$D$21,Objetivos!$E$21*12*(1+Objetivos!$B$9)^(B17-1)))</f>
        <v>2238.07375511037</v>
      </c>
      <c r="T17" s="158">
        <f>MAX(0,(T16-W16)*(1+Objetivos!$B$21)+S17)</f>
        <v>47049.9261106219</v>
      </c>
      <c r="U17" s="157">
        <f>MAX(0,U16-IF(T16=0,0,V16*U16/T16)+S17)</f>
        <v>33141.7615106291</v>
      </c>
      <c r="V17" s="159">
        <f>MIN(T17,SUMIFS(Objetivos!$I$26:$I$45,Objetivos!$E$26:$E$45,B17,Objetivos!$C$26:$C$45,"Único",Objetivos!$B$26:$B$45,Objetivos!$A$21)+SUMPRODUCT(((Objetivos!$C$26:$C$45="Renta")+(Objetivos!$C$26:$C$45="Jubilación"))*(Objetivos!$B$26:$B$45=Objetivos!$A$21)*(B17&gt;=Objetivos!$E$26:$E$45)*(B17&lt;Objetivos!$E$26:$E$45+Objetivos!$H$26:$H$45)*Objetivos!$G$26:$G$45)*12*(1+Objetivos!$B$6)^B17)</f>
        <v>0</v>
      </c>
      <c r="W17" s="157">
        <f>V17+IF(T17=0,0,V17*MAX(0,T17-U17)/T17)*Objetivos!$B$7</f>
        <v>0</v>
      </c>
      <c r="X17" s="160">
        <f>MAX(0,SUMIFS(Objetivos!$I$26:$I$45,Objetivos!$E$26:$E$45,B17,Objetivos!$C$26:$C$45,"Único",Objetivos!$B$26:$B$45,Objetivos!$A$21)+SUMPRODUCT(((Objetivos!$C$26:$C$45="Renta")+(Objetivos!$C$26:$C$45="Jubilación"))*(Objetivos!$B$26:$B$45=Objetivos!$A$21)*(B17&gt;=Objetivos!$E$26:$E$45)*(B17&lt;Objetivos!$E$26:$E$45+Objetivos!$H$26:$H$45)*Objetivos!$G$26:$G$45)*12*(1+Objetivos!$B$6)^B17-T17)</f>
        <v>0</v>
      </c>
    </row>
    <row r="18">
      <c r="A18" s="144">
        <f>Objetivos!$B$5+B18</f>
        <v>2039</v>
      </c>
      <c r="B18" s="145" t="n">
        <v>13</v>
      </c>
      <c r="C18" s="126">
        <f>H18+N18+T18</f>
        <v>248056.607604828</v>
      </c>
      <c r="D18" s="126">
        <f>(H18-MAX(0,H18-I18)*Objetivos!$B$7)+(N18-MAX(0,N18-O18)*Objetivos!$B$7)+(T18-MAX(0,T18-U18)*Objetivos!$B$7)</f>
        <v>231777.790659667</v>
      </c>
      <c r="E18" s="146">
        <f>G18+M18+S18</f>
        <v>14305.7674426655</v>
      </c>
      <c r="F18" s="147">
        <f>J18+P18+V18</f>
        <v>0</v>
      </c>
      <c r="G18" s="148">
        <f>IF(B18&gt;=Objetivos!$B$11,0,IF(B18=1,Objetivos!$E$19*12+Objetivos!$C$19+Objetivos!$D$19,Objetivos!$E$19*12*(1+Objetivos!$B$9)^(B18-1)))</f>
        <v>5783.18258320521</v>
      </c>
      <c r="H18" s="149">
        <f>MAX(0,(H17-K17)*(1+Objetivos!$B$19)+G18)</f>
        <v>56915.2530133199</v>
      </c>
      <c r="I18" s="148">
        <f>MAX(0,I17-IF(H17=0,0,J17*I17/H17)+G18)</f>
        <v>48410.1572943496</v>
      </c>
      <c r="J18" s="150">
        <f>MIN(H18,SUMIFS(Objetivos!$I$26:$I$45,Objetivos!$E$26:$E$45,B18,Objetivos!$C$26:$C$45,"Único",Objetivos!$B$26:$B$45,Objetivos!$A$19)+SUMPRODUCT(((Objetivos!$C$26:$C$45="Renta")+(Objetivos!$C$26:$C$45="Jubilación"))*(Objetivos!$B$26:$B$45=Objetivos!$A$19)*(B18&gt;=Objetivos!$E$26:$E$45)*(B18&lt;Objetivos!$E$26:$E$45+Objetivos!$H$26:$H$45)*Objetivos!$G$26:$G$45)*12*(1+Objetivos!$B$6)^B18)</f>
        <v>0</v>
      </c>
      <c r="K18" s="148">
        <f>J18+IF(H18=0,0,J18*MAX(0,H18-I18)/H18)*Objetivos!$B$7</f>
        <v>0</v>
      </c>
      <c r="L18" s="151">
        <f>MAX(0,SUMIFS(Objetivos!$I$26:$I$45,Objetivos!$E$26:$E$45,B18,Objetivos!$C$26:$C$45,"Único",Objetivos!$B$26:$B$45,Objetivos!$A$19)+SUMPRODUCT(((Objetivos!$C$26:$C$45="Renta")+(Objetivos!$C$26:$C$45="Jubilación"))*(Objetivos!$B$26:$B$45=Objetivos!$A$19)*(B18&gt;=Objetivos!$E$26:$E$45)*(B18&lt;Objetivos!$E$26:$E$45+Objetivos!$H$26:$H$45)*Objetivos!$G$26:$G$45)*12*(1+Objetivos!$B$6)^B18-H18)</f>
        <v>0</v>
      </c>
      <c r="M18" s="148">
        <f>IF(B18&gt;=Objetivos!$B$11,0,IF(B18=1,Objetivos!$E$20*12+Objetivos!$C$20+Objetivos!$D$20,Objetivos!$E$20*12*(1+Objetivos!$B$9)^(B18-1)))</f>
        <v>6239.74962924772</v>
      </c>
      <c r="N18" s="149">
        <f>MAX(0,(N17-Q17)*(1+Objetivos!$B$20)+M18)</f>
        <v>139456.096945142</v>
      </c>
      <c r="O18" s="148">
        <f>MAX(0,O17-IF(N17=0,0,P17*O17/N17)+M18)</f>
        <v>90227.2310916339</v>
      </c>
      <c r="P18" s="150">
        <f>MIN(N18,SUMIFS(Objetivos!$I$26:$I$45,Objetivos!$E$26:$E$45,B18,Objetivos!$C$26:$C$45,"Único",Objetivos!$B$26:$B$45,Objetivos!$A$20)+SUMPRODUCT(((Objetivos!$C$26:$C$45="Renta")+(Objetivos!$C$26:$C$45="Jubilación"))*(Objetivos!$B$26:$B$45=Objetivos!$A$20)*(B18&gt;=Objetivos!$E$26:$E$45)*(B18&lt;Objetivos!$E$26:$E$45+Objetivos!$H$26:$H$45)*Objetivos!$G$26:$G$45)*12*(1+Objetivos!$B$6)^B18)</f>
        <v>0</v>
      </c>
      <c r="Q18" s="148">
        <f>P18+IF(N18=0,0,P18*MAX(0,N18-O18)/N18)*Objetivos!$B$7</f>
        <v>0</v>
      </c>
      <c r="R18" s="151">
        <f>MAX(0,SUMIFS(Objetivos!$I$26:$I$45,Objetivos!$E$26:$E$45,B18,Objetivos!$C$26:$C$45,"Único",Objetivos!$B$26:$B$45,Objetivos!$A$20)+SUMPRODUCT(((Objetivos!$C$26:$C$45="Renta")+(Objetivos!$C$26:$C$45="Jubilación"))*(Objetivos!$B$26:$B$45=Objetivos!$A$20)*(B18&gt;=Objetivos!$E$26:$E$45)*(B18&lt;Objetivos!$E$26:$E$45+Objetivos!$H$26:$H$45)*Objetivos!$G$26:$G$45)*12*(1+Objetivos!$B$6)^B18-N18)</f>
        <v>0</v>
      </c>
      <c r="S18" s="148">
        <f>IF(B18&gt;=Objetivos!$B$11,0,IF(B18=1,Objetivos!$E$21*12+Objetivos!$C$21+Objetivos!$D$21,Objetivos!$E$21*12*(1+Objetivos!$B$9)^(B18-1)))</f>
        <v>2282.83523021258</v>
      </c>
      <c r="T18" s="149">
        <f>MAX(0,(T17-W17)*(1+Objetivos!$B$21)+S18)</f>
        <v>51685.2576463655</v>
      </c>
      <c r="U18" s="148">
        <f>MAX(0,U17-IF(T17=0,0,V17*U17/T17)+S18)</f>
        <v>35424.5967408417</v>
      </c>
      <c r="V18" s="150">
        <f>MIN(T18,SUMIFS(Objetivos!$I$26:$I$45,Objetivos!$E$26:$E$45,B18,Objetivos!$C$26:$C$45,"Único",Objetivos!$B$26:$B$45,Objetivos!$A$21)+SUMPRODUCT(((Objetivos!$C$26:$C$45="Renta")+(Objetivos!$C$26:$C$45="Jubilación"))*(Objetivos!$B$26:$B$45=Objetivos!$A$21)*(B18&gt;=Objetivos!$E$26:$E$45)*(B18&lt;Objetivos!$E$26:$E$45+Objetivos!$H$26:$H$45)*Objetivos!$G$26:$G$45)*12*(1+Objetivos!$B$6)^B18)</f>
        <v>0</v>
      </c>
      <c r="W18" s="148">
        <f>V18+IF(T18=0,0,V18*MAX(0,T18-U18)/T18)*Objetivos!$B$7</f>
        <v>0</v>
      </c>
      <c r="X18" s="151">
        <f>MAX(0,SUMIFS(Objetivos!$I$26:$I$45,Objetivos!$E$26:$E$45,B18,Objetivos!$C$26:$C$45,"Único",Objetivos!$B$26:$B$45,Objetivos!$A$21)+SUMPRODUCT(((Objetivos!$C$26:$C$45="Renta")+(Objetivos!$C$26:$C$45="Jubilación"))*(Objetivos!$B$26:$B$45=Objetivos!$A$21)*(B18&gt;=Objetivos!$E$26:$E$45)*(B18&lt;Objetivos!$E$26:$E$45+Objetivos!$H$26:$H$45)*Objetivos!$G$26:$G$45)*12*(1+Objetivos!$B$6)^B18-T18)</f>
        <v>0</v>
      </c>
    </row>
    <row r="19">
      <c r="A19" s="152">
        <f>Objetivos!$B$5+B19</f>
        <v>2040</v>
      </c>
      <c r="B19" s="153" t="n">
        <v>14</v>
      </c>
      <c r="C19" s="154">
        <f>H19+N19+T19</f>
        <v>275592.152950839</v>
      </c>
      <c r="D19" s="154">
        <f>(H19-MAX(0,H19-I19)*Objetivos!$B$7)+(N19-MAX(0,N19-O19)*Objetivos!$B$7)+(T19-MAX(0,T19-U19)*Objetivos!$B$7)</f>
        <v>256465.73024369</v>
      </c>
      <c r="E19" s="155">
        <f>G19+M19+S19</f>
        <v>14591.8827915188</v>
      </c>
      <c r="F19" s="156">
        <f>J19+P19+V19</f>
        <v>0</v>
      </c>
      <c r="G19" s="157">
        <f>IF(B19&gt;=Objetivos!$B$11,0,IF(B19=1,Objetivos!$E$19*12+Objetivos!$C$19+Objetivos!$D$19,Objetivos!$E$19*12*(1+Objetivos!$B$9)^(B19-1)))</f>
        <v>5898.84623486931</v>
      </c>
      <c r="H19" s="158">
        <f>MAX(0,(H18-K18)*(1+Objetivos!$B$19)+G19)</f>
        <v>64806.1331036554</v>
      </c>
      <c r="I19" s="157">
        <f>MAX(0,I18-IF(H18=0,0,J18*I18/H18)+G19)</f>
        <v>54309.0035292189</v>
      </c>
      <c r="J19" s="159">
        <f>MIN(H19,SUMIFS(Objetivos!$I$26:$I$45,Objetivos!$E$26:$E$45,B19,Objetivos!$C$26:$C$45,"Único",Objetivos!$B$26:$B$45,Objetivos!$A$19)+SUMPRODUCT(((Objetivos!$C$26:$C$45="Renta")+(Objetivos!$C$26:$C$45="Jubilación"))*(Objetivos!$B$26:$B$45=Objetivos!$A$19)*(B19&gt;=Objetivos!$E$26:$E$45)*(B19&lt;Objetivos!$E$26:$E$45+Objetivos!$H$26:$H$45)*Objetivos!$G$26:$G$45)*12*(1+Objetivos!$B$6)^B19)</f>
        <v>0</v>
      </c>
      <c r="K19" s="157">
        <f>J19+IF(H19=0,0,J19*MAX(0,H19-I19)/H19)*Objetivos!$B$7</f>
        <v>0</v>
      </c>
      <c r="L19" s="160">
        <f>MAX(0,SUMIFS(Objetivos!$I$26:$I$45,Objetivos!$E$26:$E$45,B19,Objetivos!$C$26:$C$45,"Único",Objetivos!$B$26:$B$45,Objetivos!$A$19)+SUMPRODUCT(((Objetivos!$C$26:$C$45="Renta")+(Objetivos!$C$26:$C$45="Jubilación"))*(Objetivos!$B$26:$B$45=Objetivos!$A$19)*(B19&gt;=Objetivos!$E$26:$E$45)*(B19&lt;Objetivos!$E$26:$E$45+Objetivos!$H$26:$H$45)*Objetivos!$G$26:$G$45)*12*(1+Objetivos!$B$6)^B19-H19)</f>
        <v>0</v>
      </c>
      <c r="M19" s="157">
        <f>IF(B19&gt;=Objetivos!$B$11,0,IF(B19=1,Objetivos!$E$20*12+Objetivos!$C$20+Objetivos!$D$20,Objetivos!$E$20*12*(1+Objetivos!$B$9)^(B19-1)))</f>
        <v>6364.54462183268</v>
      </c>
      <c r="N19" s="158">
        <f>MAX(0,(N18-Q18)*(1+Objetivos!$B$20)+M19)</f>
        <v>154188.007383683</v>
      </c>
      <c r="O19" s="157">
        <f>MAX(0,O18-IF(N18=0,0,P18*O18/N18)+M19)</f>
        <v>96591.7757134666</v>
      </c>
      <c r="P19" s="159">
        <f>MIN(N19,SUMIFS(Objetivos!$I$26:$I$45,Objetivos!$E$26:$E$45,B19,Objetivos!$C$26:$C$45,"Único",Objetivos!$B$26:$B$45,Objetivos!$A$20)+SUMPRODUCT(((Objetivos!$C$26:$C$45="Renta")+(Objetivos!$C$26:$C$45="Jubilación"))*(Objetivos!$B$26:$B$45=Objetivos!$A$20)*(B19&gt;=Objetivos!$E$26:$E$45)*(B19&lt;Objetivos!$E$26:$E$45+Objetivos!$H$26:$H$45)*Objetivos!$G$26:$G$45)*12*(1+Objetivos!$B$6)^B19)</f>
        <v>0</v>
      </c>
      <c r="Q19" s="157">
        <f>P19+IF(N19=0,0,P19*MAX(0,N19-O19)/N19)*Objetivos!$B$7</f>
        <v>0</v>
      </c>
      <c r="R19" s="160">
        <f>MAX(0,SUMIFS(Objetivos!$I$26:$I$45,Objetivos!$E$26:$E$45,B19,Objetivos!$C$26:$C$45,"Único",Objetivos!$B$26:$B$45,Objetivos!$A$20)+SUMPRODUCT(((Objetivos!$C$26:$C$45="Renta")+(Objetivos!$C$26:$C$45="Jubilación"))*(Objetivos!$B$26:$B$45=Objetivos!$A$20)*(B19&gt;=Objetivos!$E$26:$E$45)*(B19&lt;Objetivos!$E$26:$E$45+Objetivos!$H$26:$H$45)*Objetivos!$G$26:$G$45)*12*(1+Objetivos!$B$6)^B19-N19)</f>
        <v>0</v>
      </c>
      <c r="S19" s="157">
        <f>IF(B19&gt;=Objetivos!$B$11,0,IF(B19=1,Objetivos!$E$21*12+Objetivos!$C$21+Objetivos!$D$21,Objetivos!$E$21*12*(1+Objetivos!$B$9)^(B19-1)))</f>
        <v>2328.49193481683</v>
      </c>
      <c r="T19" s="158">
        <f>MAX(0,(T18-W18)*(1+Objetivos!$B$21)+S19)</f>
        <v>56598.0124635007</v>
      </c>
      <c r="U19" s="157">
        <f>MAX(0,U18-IF(T18=0,0,V18*U18/T18)+S19)</f>
        <v>37753.0886756585</v>
      </c>
      <c r="V19" s="159">
        <f>MIN(T19,SUMIFS(Objetivos!$I$26:$I$45,Objetivos!$E$26:$E$45,B19,Objetivos!$C$26:$C$45,"Único",Objetivos!$B$26:$B$45,Objetivos!$A$21)+SUMPRODUCT(((Objetivos!$C$26:$C$45="Renta")+(Objetivos!$C$26:$C$45="Jubilación"))*(Objetivos!$B$26:$B$45=Objetivos!$A$21)*(B19&gt;=Objetivos!$E$26:$E$45)*(B19&lt;Objetivos!$E$26:$E$45+Objetivos!$H$26:$H$45)*Objetivos!$G$26:$G$45)*12*(1+Objetivos!$B$6)^B19)</f>
        <v>0</v>
      </c>
      <c r="W19" s="157">
        <f>V19+IF(T19=0,0,V19*MAX(0,T19-U19)/T19)*Objetivos!$B$7</f>
        <v>0</v>
      </c>
      <c r="X19" s="160">
        <f>MAX(0,SUMIFS(Objetivos!$I$26:$I$45,Objetivos!$E$26:$E$45,B19,Objetivos!$C$26:$C$45,"Único",Objetivos!$B$26:$B$45,Objetivos!$A$21)+SUMPRODUCT(((Objetivos!$C$26:$C$45="Renta")+(Objetivos!$C$26:$C$45="Jubilación"))*(Objetivos!$B$26:$B$45=Objetivos!$A$21)*(B19&gt;=Objetivos!$E$26:$E$45)*(B19&lt;Objetivos!$E$26:$E$45+Objetivos!$H$26:$H$45)*Objetivos!$G$26:$G$45)*12*(1+Objetivos!$B$6)^B19-T19)</f>
        <v>0</v>
      </c>
    </row>
    <row r="20">
      <c r="A20" s="144">
        <f>Objetivos!$B$5+B20</f>
        <v>2041</v>
      </c>
      <c r="B20" s="145" t="n">
        <v>15</v>
      </c>
      <c r="C20" s="126">
        <f>H20+N20+T20</f>
        <v>304825.269123013</v>
      </c>
      <c r="D20" s="126">
        <f>(H20-MAX(0,H20-I20)*Objetivos!$B$7)+(N20-MAX(0,N20-O20)*Objetivos!$B$7)+(T20-MAX(0,T20-U20)*Objetivos!$B$7)</f>
        <v>282541.979356402</v>
      </c>
      <c r="E20" s="146">
        <f>G20+M20+S20</f>
        <v>14883.7204473492</v>
      </c>
      <c r="F20" s="147">
        <f>J20+P20+V20</f>
        <v>8689.78899898866</v>
      </c>
      <c r="G20" s="148">
        <f>IF(B20&gt;=Objetivos!$B$11,0,IF(B20=1,Objetivos!$E$19*12+Objetivos!$C$19+Objetivos!$D$19,Objetivos!$E$19*12*(1+Objetivos!$B$9)^(B20-1)))</f>
        <v>6016.8231595667</v>
      </c>
      <c r="H20" s="149">
        <f>MAX(0,(H19-K19)*(1+Objetivos!$B$19)+G20)</f>
        <v>73091.1709218501</v>
      </c>
      <c r="I20" s="148">
        <f>MAX(0,I19-IF(H19=0,0,J19*I19/H19)+G20)</f>
        <v>60325.8266887856</v>
      </c>
      <c r="J20" s="150">
        <f>MIN(H20,SUMIFS(Objetivos!$I$26:$I$45,Objetivos!$E$26:$E$45,B20,Objetivos!$C$26:$C$45,"Único",Objetivos!$B$26:$B$45,Objetivos!$A$19)+SUMPRODUCT(((Objetivos!$C$26:$C$45="Renta")+(Objetivos!$C$26:$C$45="Jubilación"))*(Objetivos!$B$26:$B$45=Objetivos!$A$19)*(B20&gt;=Objetivos!$E$26:$E$45)*(B20&lt;Objetivos!$E$26:$E$45+Objetivos!$H$26:$H$45)*Objetivos!$G$26:$G$45)*12*(1+Objetivos!$B$6)^B20)</f>
        <v>0</v>
      </c>
      <c r="K20" s="148">
        <f>J20+IF(H20=0,0,J20*MAX(0,H20-I20)/H20)*Objetivos!$B$7</f>
        <v>0</v>
      </c>
      <c r="L20" s="151">
        <f>MAX(0,SUMIFS(Objetivos!$I$26:$I$45,Objetivos!$E$26:$E$45,B20,Objetivos!$C$26:$C$45,"Único",Objetivos!$B$26:$B$45,Objetivos!$A$19)+SUMPRODUCT(((Objetivos!$C$26:$C$45="Renta")+(Objetivos!$C$26:$C$45="Jubilación"))*(Objetivos!$B$26:$B$45=Objetivos!$A$19)*(B20&gt;=Objetivos!$E$26:$E$45)*(B20&lt;Objetivos!$E$26:$E$45+Objetivos!$H$26:$H$45)*Objetivos!$G$26:$G$45)*12*(1+Objetivos!$B$6)^B20-H20)</f>
        <v>0</v>
      </c>
      <c r="M20" s="148">
        <f>IF(B20&gt;=Objetivos!$B$11,0,IF(B20=1,Objetivos!$E$20*12+Objetivos!$C$20+Objetivos!$D$20,Objetivos!$E$20*12*(1+Objetivos!$B$9)^(B20-1)))</f>
        <v>6491.83551426933</v>
      </c>
      <c r="N20" s="149">
        <f>MAX(0,(N19-Q19)*(1+Objetivos!$B$20)+M20)</f>
        <v>169931.123340974</v>
      </c>
      <c r="O20" s="148">
        <f>MAX(0,O19-IF(N19=0,0,P19*O19/N19)+M20)</f>
        <v>103083.611227736</v>
      </c>
      <c r="P20" s="150">
        <f>MIN(N20,SUMIFS(Objetivos!$I$26:$I$45,Objetivos!$E$26:$E$45,B20,Objetivos!$C$26:$C$45,"Único",Objetivos!$B$26:$B$45,Objetivos!$A$20)+SUMPRODUCT(((Objetivos!$C$26:$C$45="Renta")+(Objetivos!$C$26:$C$45="Jubilación"))*(Objetivos!$B$26:$B$45=Objetivos!$A$20)*(B20&gt;=Objetivos!$E$26:$E$45)*(B20&lt;Objetivos!$E$26:$E$45+Objetivos!$H$26:$H$45)*Objetivos!$G$26:$G$45)*12*(1+Objetivos!$B$6)^B20)</f>
        <v>8689.78899898866</v>
      </c>
      <c r="Q20" s="148">
        <f>P20+IF(N20=0,0,P20*MAX(0,N20-O20)/N20)*Objetivos!$B$7</f>
        <v>9441.83469885304</v>
      </c>
      <c r="R20" s="151">
        <f>MAX(0,SUMIFS(Objetivos!$I$26:$I$45,Objetivos!$E$26:$E$45,B20,Objetivos!$C$26:$C$45,"Único",Objetivos!$B$26:$B$45,Objetivos!$A$20)+SUMPRODUCT(((Objetivos!$C$26:$C$45="Renta")+(Objetivos!$C$26:$C$45="Jubilación"))*(Objetivos!$B$26:$B$45=Objetivos!$A$20)*(B20&gt;=Objetivos!$E$26:$E$45)*(B20&lt;Objetivos!$E$26:$E$45+Objetivos!$H$26:$H$45)*Objetivos!$G$26:$G$45)*12*(1+Objetivos!$B$6)^B20-N20)</f>
        <v>0</v>
      </c>
      <c r="S20" s="148">
        <f>IF(B20&gt;=Objetivos!$B$11,0,IF(B20=1,Objetivos!$E$21*12+Objetivos!$C$21+Objetivos!$D$21,Objetivos!$E$21*12*(1+Objetivos!$B$9)^(B20-1)))</f>
        <v>2375.06177351317</v>
      </c>
      <c r="T20" s="149">
        <f>MAX(0,(T19-W19)*(1+Objetivos!$B$21)+S20)</f>
        <v>61802.9748601889</v>
      </c>
      <c r="U20" s="148">
        <f>MAX(0,U19-IF(T19=0,0,V19*U19/T19)+S20)</f>
        <v>40128.1504491717</v>
      </c>
      <c r="V20" s="150">
        <f>MIN(T20,SUMIFS(Objetivos!$I$26:$I$45,Objetivos!$E$26:$E$45,B20,Objetivos!$C$26:$C$45,"Único",Objetivos!$B$26:$B$45,Objetivos!$A$21)+SUMPRODUCT(((Objetivos!$C$26:$C$45="Renta")+(Objetivos!$C$26:$C$45="Jubilación"))*(Objetivos!$B$26:$B$45=Objetivos!$A$21)*(B20&gt;=Objetivos!$E$26:$E$45)*(B20&lt;Objetivos!$E$26:$E$45+Objetivos!$H$26:$H$45)*Objetivos!$G$26:$G$45)*12*(1+Objetivos!$B$6)^B20)</f>
        <v>0</v>
      </c>
      <c r="W20" s="148">
        <f>V20+IF(T20=0,0,V20*MAX(0,T20-U20)/T20)*Objetivos!$B$7</f>
        <v>0</v>
      </c>
      <c r="X20" s="151">
        <f>MAX(0,SUMIFS(Objetivos!$I$26:$I$45,Objetivos!$E$26:$E$45,B20,Objetivos!$C$26:$C$45,"Único",Objetivos!$B$26:$B$45,Objetivos!$A$21)+SUMPRODUCT(((Objetivos!$C$26:$C$45="Renta")+(Objetivos!$C$26:$C$45="Jubilación"))*(Objetivos!$B$26:$B$45=Objetivos!$A$21)*(B20&gt;=Objetivos!$E$26:$E$45)*(B20&lt;Objetivos!$E$26:$E$45+Objetivos!$H$26:$H$45)*Objetivos!$G$26:$G$45)*12*(1+Objetivos!$B$6)^B20-T20)</f>
        <v>0</v>
      </c>
    </row>
    <row r="21">
      <c r="A21" s="152">
        <f>Objetivos!$B$5+B21</f>
        <v>2042</v>
      </c>
      <c r="B21" s="153" t="n">
        <v>16</v>
      </c>
      <c r="C21" s="154">
        <f>H21+N21+T21</f>
        <v>325842.526324257</v>
      </c>
      <c r="D21" s="154">
        <f>(H21-MAX(0,H21-I21)*Objetivos!$B$7)+(N21-MAX(0,N21-O21)*Objetivos!$B$7)+(T21-MAX(0,T21-U21)*Objetivos!$B$7)</f>
        <v>301115.638961845</v>
      </c>
      <c r="E21" s="155">
        <f>G21+M21+S21</f>
        <v>15181.3948562962</v>
      </c>
      <c r="F21" s="156">
        <f>J21+P21+V21</f>
        <v>26721.1011718901</v>
      </c>
      <c r="G21" s="157">
        <f>IF(B21&gt;=Objetivos!$B$11,0,IF(B21=1,Objetivos!$E$19*12+Objetivos!$C$19+Objetivos!$D$19,Objetivos!$E$19*12*(1+Objetivos!$B$9)^(B21-1)))</f>
        <v>6137.15962275803</v>
      </c>
      <c r="H21" s="158">
        <f>MAX(0,(H20-K20)*(1+Objetivos!$B$19)+G21)</f>
        <v>81786.5215268729</v>
      </c>
      <c r="I21" s="157">
        <f>MAX(0,I20-IF(H20=0,0,J20*I20/H20)+G21)</f>
        <v>66462.9863115436</v>
      </c>
      <c r="J21" s="159">
        <f>MIN(H21,SUMIFS(Objetivos!$I$26:$I$45,Objetivos!$E$26:$E$45,B21,Objetivos!$C$26:$C$45,"Único",Objetivos!$B$26:$B$45,Objetivos!$A$19)+SUMPRODUCT(((Objetivos!$C$26:$C$45="Renta")+(Objetivos!$C$26:$C$45="Jubilación"))*(Objetivos!$B$26:$B$45=Objetivos!$A$19)*(B21&gt;=Objetivos!$E$26:$E$45)*(B21&lt;Objetivos!$E$26:$E$45+Objetivos!$H$26:$H$45)*Objetivos!$G$26:$G$45)*12*(1+Objetivos!$B$6)^B21)</f>
        <v>17814.0674479267</v>
      </c>
      <c r="K21" s="157">
        <f>J21+IF(H21=0,0,J21*MAX(0,H21-I21)/H21)*Objetivos!$B$7</f>
        <v>18548.3496578739</v>
      </c>
      <c r="L21" s="160">
        <f>MAX(0,SUMIFS(Objetivos!$I$26:$I$45,Objetivos!$E$26:$E$45,B21,Objetivos!$C$26:$C$45,"Único",Objetivos!$B$26:$B$45,Objetivos!$A$19)+SUMPRODUCT(((Objetivos!$C$26:$C$45="Renta")+(Objetivos!$C$26:$C$45="Jubilación"))*(Objetivos!$B$26:$B$45=Objetivos!$A$19)*(B21&gt;=Objetivos!$E$26:$E$45)*(B21&lt;Objetivos!$E$26:$E$45+Objetivos!$H$26:$H$45)*Objetivos!$G$26:$G$45)*12*(1+Objetivos!$B$6)^B21-H21)</f>
        <v>0</v>
      </c>
      <c r="M21" s="157">
        <f>IF(B21&gt;=Objetivos!$B$11,0,IF(B21=1,Objetivos!$E$20*12+Objetivos!$C$20+Objetivos!$D$20,Objetivos!$E$20*12*(1+Objetivos!$B$9)^(B21-1)))</f>
        <v>6621.67222455472</v>
      </c>
      <c r="N21" s="158">
        <f>MAX(0,(N20-Q20)*(1+Objetivos!$B$20)+M21)</f>
        <v>176740.318185203</v>
      </c>
      <c r="O21" s="157">
        <f>MAX(0,O20-IF(N20=0,0,P20*O20/N20)+M21)</f>
        <v>104433.88399814</v>
      </c>
      <c r="P21" s="159">
        <f>MIN(N21,SUMIFS(Objetivos!$I$26:$I$45,Objetivos!$E$26:$E$45,B21,Objetivos!$C$26:$C$45,"Único",Objetivos!$B$26:$B$45,Objetivos!$A$20)+SUMPRODUCT(((Objetivos!$C$26:$C$45="Renta")+(Objetivos!$C$26:$C$45="Jubilación"))*(Objetivos!$B$26:$B$45=Objetivos!$A$20)*(B21&gt;=Objetivos!$E$26:$E$45)*(B21&lt;Objetivos!$E$26:$E$45+Objetivos!$H$26:$H$45)*Objetivos!$G$26:$G$45)*12*(1+Objetivos!$B$6)^B21)</f>
        <v>8907.03372396337</v>
      </c>
      <c r="Q21" s="157">
        <f>P21+IF(N21=0,0,P21*MAX(0,N21-O21)/N21)*Objetivos!$B$7</f>
        <v>9708.70641507816</v>
      </c>
      <c r="R21" s="160">
        <f>MAX(0,SUMIFS(Objetivos!$I$26:$I$45,Objetivos!$E$26:$E$45,B21,Objetivos!$C$26:$C$45,"Único",Objetivos!$B$26:$B$45,Objetivos!$A$20)+SUMPRODUCT(((Objetivos!$C$26:$C$45="Renta")+(Objetivos!$C$26:$C$45="Jubilación"))*(Objetivos!$B$26:$B$45=Objetivos!$A$20)*(B21&gt;=Objetivos!$E$26:$E$45)*(B21&lt;Objetivos!$E$26:$E$45+Objetivos!$H$26:$H$45)*Objetivos!$G$26:$G$45)*12*(1+Objetivos!$B$6)^B21-N21)</f>
        <v>0</v>
      </c>
      <c r="S21" s="157">
        <f>IF(B21&gt;=Objetivos!$B$11,0,IF(B21=1,Objetivos!$E$21*12+Objetivos!$C$21+Objetivos!$D$21,Objetivos!$E$21*12*(1+Objetivos!$B$9)^(B21-1)))</f>
        <v>2422.56300898343</v>
      </c>
      <c r="T21" s="158">
        <f>MAX(0,(T20-W20)*(1+Objetivos!$B$21)+S21)</f>
        <v>67315.6866121817</v>
      </c>
      <c r="U21" s="157">
        <f>MAX(0,U20-IF(T20=0,0,V20*U20/T20)+S21)</f>
        <v>42550.7134581551</v>
      </c>
      <c r="V21" s="159">
        <f>MIN(T21,SUMIFS(Objetivos!$I$26:$I$45,Objetivos!$E$26:$E$45,B21,Objetivos!$C$26:$C$45,"Único",Objetivos!$B$26:$B$45,Objetivos!$A$21)+SUMPRODUCT(((Objetivos!$C$26:$C$45="Renta")+(Objetivos!$C$26:$C$45="Jubilación"))*(Objetivos!$B$26:$B$45=Objetivos!$A$21)*(B21&gt;=Objetivos!$E$26:$E$45)*(B21&lt;Objetivos!$E$26:$E$45+Objetivos!$H$26:$H$45)*Objetivos!$G$26:$G$45)*12*(1+Objetivos!$B$6)^B21)</f>
        <v>0</v>
      </c>
      <c r="W21" s="157">
        <f>V21+IF(T21=0,0,V21*MAX(0,T21-U21)/T21)*Objetivos!$B$7</f>
        <v>0</v>
      </c>
      <c r="X21" s="160">
        <f>MAX(0,SUMIFS(Objetivos!$I$26:$I$45,Objetivos!$E$26:$E$45,B21,Objetivos!$C$26:$C$45,"Único",Objetivos!$B$26:$B$45,Objetivos!$A$21)+SUMPRODUCT(((Objetivos!$C$26:$C$45="Renta")+(Objetivos!$C$26:$C$45="Jubilación"))*(Objetivos!$B$26:$B$45=Objetivos!$A$21)*(B21&gt;=Objetivos!$E$26:$E$45)*(B21&lt;Objetivos!$E$26:$E$45+Objetivos!$H$26:$H$45)*Objetivos!$G$26:$G$45)*12*(1+Objetivos!$B$6)^B21-T21)</f>
        <v>0</v>
      </c>
    </row>
    <row r="22">
      <c r="A22" s="144">
        <f>Objetivos!$B$5+B22</f>
        <v>2043</v>
      </c>
      <c r="B22" s="145" t="n">
        <v>17</v>
      </c>
      <c r="C22" s="126">
        <f>H22+N22+T22</f>
        <v>328671.510056959</v>
      </c>
      <c r="D22" s="126">
        <f>(H22-MAX(0,H22-I22)*Objetivos!$B$7)+(N22-MAX(0,N22-O22)*Objetivos!$B$7)+(T22-MAX(0,T22-U22)*Objetivos!$B$7)</f>
        <v>302386.263922351</v>
      </c>
      <c r="E22" s="146">
        <f>G22+M22+S22</f>
        <v>15485.0227534221</v>
      </c>
      <c r="F22" s="147">
        <f>J22+P22+V22</f>
        <v>9129.70956706246</v>
      </c>
      <c r="G22" s="148">
        <f>IF(B22&gt;=Objetivos!$B$11,0,IF(B22=1,Objetivos!$E$19*12+Objetivos!$C$19+Objetivos!$D$19,Objetivos!$E$19*12*(1+Objetivos!$B$9)^(B22-1)))</f>
        <v>6259.90281521319</v>
      </c>
      <c r="H22" s="149">
        <f>MAX(0,(H21-K21)*(1+Objetivos!$B$19)+G22)</f>
        <v>71711.4106996271</v>
      </c>
      <c r="I22" s="148">
        <f>MAX(0,I21-IF(H21=0,0,J21*I21/H21)+G22)</f>
        <v>58246.4680876807</v>
      </c>
      <c r="J22" s="150">
        <f>MIN(H22,SUMIFS(Objetivos!$I$26:$I$45,Objetivos!$E$26:$E$45,B22,Objetivos!$C$26:$C$45,"Único",Objetivos!$B$26:$B$45,Objetivos!$A$19)+SUMPRODUCT(((Objetivos!$C$26:$C$45="Renta")+(Objetivos!$C$26:$C$45="Jubilación"))*(Objetivos!$B$26:$B$45=Objetivos!$A$19)*(B22&gt;=Objetivos!$E$26:$E$45)*(B22&lt;Objetivos!$E$26:$E$45+Objetivos!$H$26:$H$45)*Objetivos!$G$26:$G$45)*12*(1+Objetivos!$B$6)^B22)</f>
        <v>0</v>
      </c>
      <c r="K22" s="148">
        <f>J22+IF(H22=0,0,J22*MAX(0,H22-I22)/H22)*Objetivos!$B$7</f>
        <v>0</v>
      </c>
      <c r="L22" s="151">
        <f>MAX(0,SUMIFS(Objetivos!$I$26:$I$45,Objetivos!$E$26:$E$45,B22,Objetivos!$C$26:$C$45,"Único",Objetivos!$B$26:$B$45,Objetivos!$A$19)+SUMPRODUCT(((Objetivos!$C$26:$C$45="Renta")+(Objetivos!$C$26:$C$45="Jubilación"))*(Objetivos!$B$26:$B$45=Objetivos!$A$19)*(B22&gt;=Objetivos!$E$26:$E$45)*(B22&lt;Objetivos!$E$26:$E$45+Objetivos!$H$26:$H$45)*Objetivos!$G$26:$G$45)*12*(1+Objetivos!$B$6)^B22-H22)</f>
        <v>0</v>
      </c>
      <c r="M22" s="148">
        <f>IF(B22&gt;=Objetivos!$B$11,0,IF(B22=1,Objetivos!$E$20*12+Objetivos!$C$20+Objetivos!$D$20,Objetivos!$E$20*12*(1+Objetivos!$B$9)^(B22-1)))</f>
        <v>6754.10566904581</v>
      </c>
      <c r="N22" s="149">
        <f>MAX(0,(N21-Q21)*(1+Objetivos!$B$20)+M22)</f>
        <v>183807.614145378</v>
      </c>
      <c r="O22" s="148">
        <f>MAX(0,O21-IF(N21=0,0,P21*O21/N21)+M22)</f>
        <v>105924.922721017</v>
      </c>
      <c r="P22" s="150">
        <f>MIN(N22,SUMIFS(Objetivos!$I$26:$I$45,Objetivos!$E$26:$E$45,B22,Objetivos!$C$26:$C$45,"Único",Objetivos!$B$26:$B$45,Objetivos!$A$20)+SUMPRODUCT(((Objetivos!$C$26:$C$45="Renta")+(Objetivos!$C$26:$C$45="Jubilación"))*(Objetivos!$B$26:$B$45=Objetivos!$A$20)*(B22&gt;=Objetivos!$E$26:$E$45)*(B22&lt;Objetivos!$E$26:$E$45+Objetivos!$H$26:$H$45)*Objetivos!$G$26:$G$45)*12*(1+Objetivos!$B$6)^B22)</f>
        <v>9129.70956706246</v>
      </c>
      <c r="Q22" s="148">
        <f>P22+IF(N22=0,0,P22*MAX(0,N22-O22)/N22)*Objetivos!$B$7</f>
        <v>9980.76352578203</v>
      </c>
      <c r="R22" s="151">
        <f>MAX(0,SUMIFS(Objetivos!$I$26:$I$45,Objetivos!$E$26:$E$45,B22,Objetivos!$C$26:$C$45,"Único",Objetivos!$B$26:$B$45,Objetivos!$A$20)+SUMPRODUCT(((Objetivos!$C$26:$C$45="Renta")+(Objetivos!$C$26:$C$45="Jubilación"))*(Objetivos!$B$26:$B$45=Objetivos!$A$20)*(B22&gt;=Objetivos!$E$26:$E$45)*(B22&lt;Objetivos!$E$26:$E$45+Objetivos!$H$26:$H$45)*Objetivos!$G$26:$G$45)*12*(1+Objetivos!$B$6)^B22-N22)</f>
        <v>0</v>
      </c>
      <c r="S22" s="148">
        <f>IF(B22&gt;=Objetivos!$B$11,0,IF(B22=1,Objetivos!$E$21*12+Objetivos!$C$21+Objetivos!$D$21,Objetivos!$E$21*12*(1+Objetivos!$B$9)^(B22-1)))</f>
        <v>2471.0142691631</v>
      </c>
      <c r="T22" s="149">
        <f>MAX(0,(T21-W21)*(1+Objetivos!$B$21)+S22)</f>
        <v>73152.4852119539</v>
      </c>
      <c r="U22" s="148">
        <f>MAX(0,U21-IF(T21=0,0,V21*U21/T21)+S22)</f>
        <v>45021.7277273182</v>
      </c>
      <c r="V22" s="150">
        <f>MIN(T22,SUMIFS(Objetivos!$I$26:$I$45,Objetivos!$E$26:$E$45,B22,Objetivos!$C$26:$C$45,"Único",Objetivos!$B$26:$B$45,Objetivos!$A$21)+SUMPRODUCT(((Objetivos!$C$26:$C$45="Renta")+(Objetivos!$C$26:$C$45="Jubilación"))*(Objetivos!$B$26:$B$45=Objetivos!$A$21)*(B22&gt;=Objetivos!$E$26:$E$45)*(B22&lt;Objetivos!$E$26:$E$45+Objetivos!$H$26:$H$45)*Objetivos!$G$26:$G$45)*12*(1+Objetivos!$B$6)^B22)</f>
        <v>0</v>
      </c>
      <c r="W22" s="148">
        <f>V22+IF(T22=0,0,V22*MAX(0,T22-U22)/T22)*Objetivos!$B$7</f>
        <v>0</v>
      </c>
      <c r="X22" s="151">
        <f>MAX(0,SUMIFS(Objetivos!$I$26:$I$45,Objetivos!$E$26:$E$45,B22,Objetivos!$C$26:$C$45,"Único",Objetivos!$B$26:$B$45,Objetivos!$A$21)+SUMPRODUCT(((Objetivos!$C$26:$C$45="Renta")+(Objetivos!$C$26:$C$45="Jubilación"))*(Objetivos!$B$26:$B$45=Objetivos!$A$21)*(B22&gt;=Objetivos!$E$26:$E$45)*(B22&lt;Objetivos!$E$26:$E$45+Objetivos!$H$26:$H$45)*Objetivos!$G$26:$G$45)*12*(1+Objetivos!$B$6)^B22-T22)</f>
        <v>0</v>
      </c>
    </row>
    <row r="23">
      <c r="A23" s="152">
        <f>Objetivos!$B$5+B23</f>
        <v>2044</v>
      </c>
      <c r="B23" s="153" t="n">
        <v>18</v>
      </c>
      <c r="C23" s="154">
        <f>H23+N23+T23</f>
        <v>351082.604411928</v>
      </c>
      <c r="D23" s="154">
        <f>(H23-MAX(0,H23-I23)*Objetivos!$B$7)+(N23-MAX(0,N23-O23)*Objetivos!$B$7)+(T23-MAX(0,T23-U23)*Objetivos!$B$7)</f>
        <v>322184.274479061</v>
      </c>
      <c r="E23" s="155">
        <f>G23+M23+S23</f>
        <v>15794.7232084906</v>
      </c>
      <c r="F23" s="156">
        <f>J23+P23+V23</f>
        <v>9357.95230623902</v>
      </c>
      <c r="G23" s="157">
        <f>IF(B23&gt;=Objetivos!$B$11,0,IF(B23=1,Objetivos!$E$19*12+Objetivos!$C$19+Objetivos!$D$19,Objetivos!$E$19*12*(1+Objetivos!$B$9)^(B23-1)))</f>
        <v>6385.10087151746</v>
      </c>
      <c r="H23" s="158">
        <f>MAX(0,(H22-K22)*(1+Objetivos!$B$19)+G23)</f>
        <v>80606.4109456315</v>
      </c>
      <c r="I23" s="157">
        <f>MAX(0,I22-IF(H22=0,0,J22*I22/H22)+G23)</f>
        <v>64631.5689591982</v>
      </c>
      <c r="J23" s="159">
        <f>MIN(H23,SUMIFS(Objetivos!$I$26:$I$45,Objetivos!$E$26:$E$45,B23,Objetivos!$C$26:$C$45,"Único",Objetivos!$B$26:$B$45,Objetivos!$A$19)+SUMPRODUCT(((Objetivos!$C$26:$C$45="Renta")+(Objetivos!$C$26:$C$45="Jubilación"))*(Objetivos!$B$26:$B$45=Objetivos!$A$19)*(B23&gt;=Objetivos!$E$26:$E$45)*(B23&lt;Objetivos!$E$26:$E$45+Objetivos!$H$26:$H$45)*Objetivos!$G$26:$G$45)*12*(1+Objetivos!$B$6)^B23)</f>
        <v>0</v>
      </c>
      <c r="K23" s="157">
        <f>J23+IF(H23=0,0,J23*MAX(0,H23-I23)/H23)*Objetivos!$B$7</f>
        <v>0</v>
      </c>
      <c r="L23" s="160">
        <f>MAX(0,SUMIFS(Objetivos!$I$26:$I$45,Objetivos!$E$26:$E$45,B23,Objetivos!$C$26:$C$45,"Único",Objetivos!$B$26:$B$45,Objetivos!$A$19)+SUMPRODUCT(((Objetivos!$C$26:$C$45="Renta")+(Objetivos!$C$26:$C$45="Jubilación"))*(Objetivos!$B$26:$B$45=Objetivos!$A$19)*(B23&gt;=Objetivos!$E$26:$E$45)*(B23&lt;Objetivos!$E$26:$E$45+Objetivos!$H$26:$H$45)*Objetivos!$G$26:$G$45)*12*(1+Objetivos!$B$6)^B23-H23)</f>
        <v>0</v>
      </c>
      <c r="M23" s="157">
        <f>IF(B23&gt;=Objetivos!$B$11,0,IF(B23=1,Objetivos!$E$20*12+Objetivos!$C$20+Objetivos!$D$20,Objetivos!$E$20*12*(1+Objetivos!$B$9)^(B23-1)))</f>
        <v>6889.18778242673</v>
      </c>
      <c r="N23" s="158">
        <f>MAX(0,(N22-Q22)*(1+Objetivos!$B$20)+M23)</f>
        <v>191145.649439198</v>
      </c>
      <c r="O23" s="157">
        <f>MAX(0,O22-IF(N22=0,0,P22*O22/N22)+M23)</f>
        <v>107552.82802147</v>
      </c>
      <c r="P23" s="159">
        <f>MIN(N23,SUMIFS(Objetivos!$I$26:$I$45,Objetivos!$E$26:$E$45,B23,Objetivos!$C$26:$C$45,"Único",Objetivos!$B$26:$B$45,Objetivos!$A$20)+SUMPRODUCT(((Objetivos!$C$26:$C$45="Renta")+(Objetivos!$C$26:$C$45="Jubilación"))*(Objetivos!$B$26:$B$45=Objetivos!$A$20)*(B23&gt;=Objetivos!$E$26:$E$45)*(B23&lt;Objetivos!$E$26:$E$45+Objetivos!$H$26:$H$45)*Objetivos!$G$26:$G$45)*12*(1+Objetivos!$B$6)^B23)</f>
        <v>9357.95230623902</v>
      </c>
      <c r="Q23" s="157">
        <f>P23+IF(N23=0,0,P23*MAX(0,N23-O23)/N23)*Objetivos!$B$7</f>
        <v>10258.2954760603</v>
      </c>
      <c r="R23" s="160">
        <f>MAX(0,SUMIFS(Objetivos!$I$26:$I$45,Objetivos!$E$26:$E$45,B23,Objetivos!$C$26:$C$45,"Único",Objetivos!$B$26:$B$45,Objetivos!$A$20)+SUMPRODUCT(((Objetivos!$C$26:$C$45="Renta")+(Objetivos!$C$26:$C$45="Jubilación"))*(Objetivos!$B$26:$B$45=Objetivos!$A$20)*(B23&gt;=Objetivos!$E$26:$E$45)*(B23&lt;Objetivos!$E$26:$E$45+Objetivos!$H$26:$H$45)*Objetivos!$G$26:$G$45)*12*(1+Objetivos!$B$6)^B23-N23)</f>
        <v>0</v>
      </c>
      <c r="S23" s="157">
        <f>IF(B23&gt;=Objetivos!$B$11,0,IF(B23=1,Objetivos!$E$21*12+Objetivos!$C$21+Objetivos!$D$21,Objetivos!$E$21*12*(1+Objetivos!$B$9)^(B23-1)))</f>
        <v>2520.43455454637</v>
      </c>
      <c r="T23" s="158">
        <f>MAX(0,(T22-W22)*(1+Objetivos!$B$21)+S23)</f>
        <v>79330.544027098</v>
      </c>
      <c r="U23" s="157">
        <f>MAX(0,U22-IF(T22=0,0,V22*U22/T22)+S23)</f>
        <v>47542.1622818646</v>
      </c>
      <c r="V23" s="159">
        <f>MIN(T23,SUMIFS(Objetivos!$I$26:$I$45,Objetivos!$E$26:$E$45,B23,Objetivos!$C$26:$C$45,"Único",Objetivos!$B$26:$B$45,Objetivos!$A$21)+SUMPRODUCT(((Objetivos!$C$26:$C$45="Renta")+(Objetivos!$C$26:$C$45="Jubilación"))*(Objetivos!$B$26:$B$45=Objetivos!$A$21)*(B23&gt;=Objetivos!$E$26:$E$45)*(B23&lt;Objetivos!$E$26:$E$45+Objetivos!$H$26:$H$45)*Objetivos!$G$26:$G$45)*12*(1+Objetivos!$B$6)^B23)</f>
        <v>0</v>
      </c>
      <c r="W23" s="157">
        <f>V23+IF(T23=0,0,V23*MAX(0,T23-U23)/T23)*Objetivos!$B$7</f>
        <v>0</v>
      </c>
      <c r="X23" s="160">
        <f>MAX(0,SUMIFS(Objetivos!$I$26:$I$45,Objetivos!$E$26:$E$45,B23,Objetivos!$C$26:$C$45,"Único",Objetivos!$B$26:$B$45,Objetivos!$A$21)+SUMPRODUCT(((Objetivos!$C$26:$C$45="Renta")+(Objetivos!$C$26:$C$45="Jubilación"))*(Objetivos!$B$26:$B$45=Objetivos!$A$21)*(B23&gt;=Objetivos!$E$26:$E$45)*(B23&lt;Objetivos!$E$26:$E$45+Objetivos!$H$26:$H$45)*Objetivos!$G$26:$G$45)*12*(1+Objetivos!$B$6)^B23-T23)</f>
        <v>0</v>
      </c>
    </row>
    <row r="24">
      <c r="A24" s="144">
        <f>Objetivos!$B$5+B24</f>
        <v>2045</v>
      </c>
      <c r="B24" s="145" t="n">
        <v>19</v>
      </c>
      <c r="C24" s="126">
        <f>H24+N24+T24</f>
        <v>374575.919430768</v>
      </c>
      <c r="D24" s="126">
        <f>(H24-MAX(0,H24-I24)*Objetivos!$B$7)+(N24-MAX(0,N24-O24)*Objetivos!$B$7)+(T24-MAX(0,T24-U24)*Objetivos!$B$7)</f>
        <v>342894.98974419</v>
      </c>
      <c r="E24" s="146">
        <f>G24+M24+S24</f>
        <v>16110.6176726604</v>
      </c>
      <c r="F24" s="147">
        <f>J24+P24+V24</f>
        <v>0</v>
      </c>
      <c r="G24" s="148">
        <f>IF(B24&gt;=Objetivos!$B$11,0,IF(B24=1,Objetivos!$E$19*12+Objetivos!$C$19+Objetivos!$D$19,Objetivos!$E$19*12*(1+Objetivos!$B$9)^(B24-1)))</f>
        <v>6512.80288894781</v>
      </c>
      <c r="H24" s="149">
        <f>MAX(0,(H23-K23)*(1+Objetivos!$B$19)+G24)</f>
        <v>89940.4382176764</v>
      </c>
      <c r="I24" s="148">
        <f>MAX(0,I23-IF(H23=0,0,J23*I23/H23)+G24)</f>
        <v>71144.371848146</v>
      </c>
      <c r="J24" s="150">
        <f>MIN(H24,SUMIFS(Objetivos!$I$26:$I$45,Objetivos!$E$26:$E$45,B24,Objetivos!$C$26:$C$45,"Único",Objetivos!$B$26:$B$45,Objetivos!$A$19)+SUMPRODUCT(((Objetivos!$C$26:$C$45="Renta")+(Objetivos!$C$26:$C$45="Jubilación"))*(Objetivos!$B$26:$B$45=Objetivos!$A$19)*(B24&gt;=Objetivos!$E$26:$E$45)*(B24&lt;Objetivos!$E$26:$E$45+Objetivos!$H$26:$H$45)*Objetivos!$G$26:$G$45)*12*(1+Objetivos!$B$6)^B24)</f>
        <v>0</v>
      </c>
      <c r="K24" s="148">
        <f>J24+IF(H24=0,0,J24*MAX(0,H24-I24)/H24)*Objetivos!$B$7</f>
        <v>0</v>
      </c>
      <c r="L24" s="151">
        <f>MAX(0,SUMIFS(Objetivos!$I$26:$I$45,Objetivos!$E$26:$E$45,B24,Objetivos!$C$26:$C$45,"Único",Objetivos!$B$26:$B$45,Objetivos!$A$19)+SUMPRODUCT(((Objetivos!$C$26:$C$45="Renta")+(Objetivos!$C$26:$C$45="Jubilación"))*(Objetivos!$B$26:$B$45=Objetivos!$A$19)*(B24&gt;=Objetivos!$E$26:$E$45)*(B24&lt;Objetivos!$E$26:$E$45+Objetivos!$H$26:$H$45)*Objetivos!$G$26:$G$45)*12*(1+Objetivos!$B$6)^B24-H24)</f>
        <v>0</v>
      </c>
      <c r="M24" s="148">
        <f>IF(B24&gt;=Objetivos!$B$11,0,IF(B24=1,Objetivos!$E$20*12+Objetivos!$C$20+Objetivos!$D$20,Objetivos!$E$20*12*(1+Objetivos!$B$9)^(B24-1)))</f>
        <v>7026.97153807527</v>
      </c>
      <c r="N24" s="149">
        <f>MAX(0,(N23-Q23)*(1+Objetivos!$B$20)+M24)</f>
        <v>198767.566739002</v>
      </c>
      <c r="O24" s="148">
        <f>MAX(0,O23-IF(N23=0,0,P23*O23/N23)+M24)</f>
        <v>109314.316207039</v>
      </c>
      <c r="P24" s="150">
        <f>MIN(N24,SUMIFS(Objetivos!$I$26:$I$45,Objetivos!$E$26:$E$45,B24,Objetivos!$C$26:$C$45,"Único",Objetivos!$B$26:$B$45,Objetivos!$A$20)+SUMPRODUCT(((Objetivos!$C$26:$C$45="Renta")+(Objetivos!$C$26:$C$45="Jubilación"))*(Objetivos!$B$26:$B$45=Objetivos!$A$20)*(B24&gt;=Objetivos!$E$26:$E$45)*(B24&lt;Objetivos!$E$26:$E$45+Objetivos!$H$26:$H$45)*Objetivos!$G$26:$G$45)*12*(1+Objetivos!$B$6)^B24)</f>
        <v>0</v>
      </c>
      <c r="Q24" s="148">
        <f>P24+IF(N24=0,0,P24*MAX(0,N24-O24)/N24)*Objetivos!$B$7</f>
        <v>0</v>
      </c>
      <c r="R24" s="151">
        <f>MAX(0,SUMIFS(Objetivos!$I$26:$I$45,Objetivos!$E$26:$E$45,B24,Objetivos!$C$26:$C$45,"Único",Objetivos!$B$26:$B$45,Objetivos!$A$20)+SUMPRODUCT(((Objetivos!$C$26:$C$45="Renta")+(Objetivos!$C$26:$C$45="Jubilación"))*(Objetivos!$B$26:$B$45=Objetivos!$A$20)*(B24&gt;=Objetivos!$E$26:$E$45)*(B24&lt;Objetivos!$E$26:$E$45+Objetivos!$H$26:$H$45)*Objetivos!$G$26:$G$45)*12*(1+Objetivos!$B$6)^B24-N24)</f>
        <v>0</v>
      </c>
      <c r="S24" s="148">
        <f>IF(B24&gt;=Objetivos!$B$11,0,IF(B24=1,Objetivos!$E$21*12+Objetivos!$C$21+Objetivos!$D$21,Objetivos!$E$21*12*(1+Objetivos!$B$9)^(B24-1)))</f>
        <v>2570.84324563729</v>
      </c>
      <c r="T24" s="149">
        <f>MAX(0,(T23-W23)*(1+Objetivos!$B$21)+S24)</f>
        <v>85867.9144740902</v>
      </c>
      <c r="U24" s="148">
        <f>MAX(0,U23-IF(T23=0,0,V23*U23/T23)+S24)</f>
        <v>50113.0055275019</v>
      </c>
      <c r="V24" s="150">
        <f>MIN(T24,SUMIFS(Objetivos!$I$26:$I$45,Objetivos!$E$26:$E$45,B24,Objetivos!$C$26:$C$45,"Único",Objetivos!$B$26:$B$45,Objetivos!$A$21)+SUMPRODUCT(((Objetivos!$C$26:$C$45="Renta")+(Objetivos!$C$26:$C$45="Jubilación"))*(Objetivos!$B$26:$B$45=Objetivos!$A$21)*(B24&gt;=Objetivos!$E$26:$E$45)*(B24&lt;Objetivos!$E$26:$E$45+Objetivos!$H$26:$H$45)*Objetivos!$G$26:$G$45)*12*(1+Objetivos!$B$6)^B24)</f>
        <v>0</v>
      </c>
      <c r="W24" s="148">
        <f>V24+IF(T24=0,0,V24*MAX(0,T24-U24)/T24)*Objetivos!$B$7</f>
        <v>0</v>
      </c>
      <c r="X24" s="151">
        <f>MAX(0,SUMIFS(Objetivos!$I$26:$I$45,Objetivos!$E$26:$E$45,B24,Objetivos!$C$26:$C$45,"Único",Objetivos!$B$26:$B$45,Objetivos!$A$21)+SUMPRODUCT(((Objetivos!$C$26:$C$45="Renta")+(Objetivos!$C$26:$C$45="Jubilación"))*(Objetivos!$B$26:$B$45=Objetivos!$A$21)*(B24&gt;=Objetivos!$E$26:$E$45)*(B24&lt;Objetivos!$E$26:$E$45+Objetivos!$H$26:$H$45)*Objetivos!$G$26:$G$45)*12*(1+Objetivos!$B$6)^B24-T24)</f>
        <v>0</v>
      </c>
    </row>
    <row r="25">
      <c r="A25" s="152">
        <f>Objetivos!$B$5+B25</f>
        <v>2046</v>
      </c>
      <c r="B25" s="153" t="n">
        <v>20</v>
      </c>
      <c r="C25" s="154">
        <f>H25+N25+T25</f>
        <v>410376.114522545</v>
      </c>
      <c r="D25" s="154">
        <f>(H25-MAX(0,H25-I25)*Objetivos!$B$7)+(N25-MAX(0,N25-O25)*Objetivos!$B$7)+(T25-MAX(0,T25-U25)*Objetivos!$B$7)</f>
        <v>374434.364521521</v>
      </c>
      <c r="E25" s="155">
        <f>G25+M25+S25</f>
        <v>16432.8300261136</v>
      </c>
      <c r="F25" s="156">
        <f>J25+P25+V25</f>
        <v>0</v>
      </c>
      <c r="G25" s="157">
        <f>IF(B25&gt;=Objetivos!$B$11,0,IF(B25=1,Objetivos!$E$19*12+Objetivos!$C$19+Objetivos!$D$19,Objetivos!$E$19*12*(1+Objetivos!$B$9)^(B25-1)))</f>
        <v>6643.05894672676</v>
      </c>
      <c r="H25" s="158">
        <f>MAX(0,(H24-K24)*(1+Objetivos!$B$19)+G25)</f>
        <v>99731.4125020218</v>
      </c>
      <c r="I25" s="157">
        <f>MAX(0,I24-IF(H24=0,0,J24*I24/H24)+G25)</f>
        <v>77787.4307948727</v>
      </c>
      <c r="J25" s="159">
        <f>MIN(H25,SUMIFS(Objetivos!$I$26:$I$45,Objetivos!$E$26:$E$45,B25,Objetivos!$C$26:$C$45,"Único",Objetivos!$B$26:$B$45,Objetivos!$A$19)+SUMPRODUCT(((Objetivos!$C$26:$C$45="Renta")+(Objetivos!$C$26:$C$45="Jubilación"))*(Objetivos!$B$26:$B$45=Objetivos!$A$19)*(B25&gt;=Objetivos!$E$26:$E$45)*(B25&lt;Objetivos!$E$26:$E$45+Objetivos!$H$26:$H$45)*Objetivos!$G$26:$G$45)*12*(1+Objetivos!$B$6)^B25)</f>
        <v>0</v>
      </c>
      <c r="K25" s="157">
        <f>J25+IF(H25=0,0,J25*MAX(0,H25-I25)/H25)*Objetivos!$B$7</f>
        <v>0</v>
      </c>
      <c r="L25" s="160">
        <f>MAX(0,SUMIFS(Objetivos!$I$26:$I$45,Objetivos!$E$26:$E$45,B25,Objetivos!$C$26:$C$45,"Único",Objetivos!$B$26:$B$45,Objetivos!$A$19)+SUMPRODUCT(((Objetivos!$C$26:$C$45="Renta")+(Objetivos!$C$26:$C$45="Jubilación"))*(Objetivos!$B$26:$B$45=Objetivos!$A$19)*(B25&gt;=Objetivos!$E$26:$E$45)*(B25&lt;Objetivos!$E$26:$E$45+Objetivos!$H$26:$H$45)*Objetivos!$G$26:$G$45)*12*(1+Objetivos!$B$6)^B25-H25)</f>
        <v>0</v>
      </c>
      <c r="M25" s="157">
        <f>IF(B25&gt;=Objetivos!$B$11,0,IF(B25=1,Objetivos!$E$20*12+Objetivos!$C$20+Objetivos!$D$20,Objetivos!$E$20*12*(1+Objetivos!$B$9)^(B25-1)))</f>
        <v>7167.51096883677</v>
      </c>
      <c r="N25" s="158">
        <f>MAX(0,(N24-Q24)*(1+Objetivos!$B$20)+M25)</f>
        <v>217861.131712178</v>
      </c>
      <c r="O25" s="157">
        <f>MAX(0,O24-IF(N24=0,0,P24*O24/N24)+M25)</f>
        <v>116481.827175876</v>
      </c>
      <c r="P25" s="159">
        <f>MIN(N25,SUMIFS(Objetivos!$I$26:$I$45,Objetivos!$E$26:$E$45,B25,Objetivos!$C$26:$C$45,"Único",Objetivos!$B$26:$B$45,Objetivos!$A$20)+SUMPRODUCT(((Objetivos!$C$26:$C$45="Renta")+(Objetivos!$C$26:$C$45="Jubilación"))*(Objetivos!$B$26:$B$45=Objetivos!$A$20)*(B25&gt;=Objetivos!$E$26:$E$45)*(B25&lt;Objetivos!$E$26:$E$45+Objetivos!$H$26:$H$45)*Objetivos!$G$26:$G$45)*12*(1+Objetivos!$B$6)^B25)</f>
        <v>0</v>
      </c>
      <c r="Q25" s="157">
        <f>P25+IF(N25=0,0,P25*MAX(0,N25-O25)/N25)*Objetivos!$B$7</f>
        <v>0</v>
      </c>
      <c r="R25" s="160">
        <f>MAX(0,SUMIFS(Objetivos!$I$26:$I$45,Objetivos!$E$26:$E$45,B25,Objetivos!$C$26:$C$45,"Único",Objetivos!$B$26:$B$45,Objetivos!$A$20)+SUMPRODUCT(((Objetivos!$C$26:$C$45="Renta")+(Objetivos!$C$26:$C$45="Jubilación"))*(Objetivos!$B$26:$B$45=Objetivos!$A$20)*(B25&gt;=Objetivos!$E$26:$E$45)*(B25&lt;Objetivos!$E$26:$E$45+Objetivos!$H$26:$H$45)*Objetivos!$G$26:$G$45)*12*(1+Objetivos!$B$6)^B25-N25)</f>
        <v>0</v>
      </c>
      <c r="S25" s="157">
        <f>IF(B25&gt;=Objetivos!$B$11,0,IF(B25=1,Objetivos!$E$21*12+Objetivos!$C$21+Objetivos!$D$21,Objetivos!$E$21*12*(1+Objetivos!$B$9)^(B25-1)))</f>
        <v>2622.26011055004</v>
      </c>
      <c r="T25" s="158">
        <f>MAX(0,(T24-W24)*(1+Objetivos!$B$21)+S25)</f>
        <v>92783.5703083447</v>
      </c>
      <c r="U25" s="157">
        <f>MAX(0,U24-IF(T24=0,0,V24*U24/T24)+S25)</f>
        <v>52735.2656380519</v>
      </c>
      <c r="V25" s="159">
        <f>MIN(T25,SUMIFS(Objetivos!$I$26:$I$45,Objetivos!$E$26:$E$45,B25,Objetivos!$C$26:$C$45,"Único",Objetivos!$B$26:$B$45,Objetivos!$A$21)+SUMPRODUCT(((Objetivos!$C$26:$C$45="Renta")+(Objetivos!$C$26:$C$45="Jubilación"))*(Objetivos!$B$26:$B$45=Objetivos!$A$21)*(B25&gt;=Objetivos!$E$26:$E$45)*(B25&lt;Objetivos!$E$26:$E$45+Objetivos!$H$26:$H$45)*Objetivos!$G$26:$G$45)*12*(1+Objetivos!$B$6)^B25)</f>
        <v>0</v>
      </c>
      <c r="W25" s="157">
        <f>V25+IF(T25=0,0,V25*MAX(0,T25-U25)/T25)*Objetivos!$B$7</f>
        <v>0</v>
      </c>
      <c r="X25" s="160">
        <f>MAX(0,SUMIFS(Objetivos!$I$26:$I$45,Objetivos!$E$26:$E$45,B25,Objetivos!$C$26:$C$45,"Único",Objetivos!$B$26:$B$45,Objetivos!$A$21)+SUMPRODUCT(((Objetivos!$C$26:$C$45="Renta")+(Objetivos!$C$26:$C$45="Jubilación"))*(Objetivos!$B$26:$B$45=Objetivos!$A$21)*(B25&gt;=Objetivos!$E$26:$E$45)*(B25&lt;Objetivos!$E$26:$E$45+Objetivos!$H$26:$H$45)*Objetivos!$G$26:$G$45)*12*(1+Objetivos!$B$6)^B25-T25)</f>
        <v>0</v>
      </c>
    </row>
    <row r="26">
      <c r="A26" s="144">
        <f>Objetivos!$B$5+B26</f>
        <v>2047</v>
      </c>
      <c r="B26" s="145" t="n">
        <v>21</v>
      </c>
      <c r="C26" s="126">
        <f>H26+N26+T26</f>
        <v>448339.0470049</v>
      </c>
      <c r="D26" s="126">
        <f>(H26-MAX(0,H26-I26)*Objetivos!$B$7)+(N26-MAX(0,N26-O26)*Objetivos!$B$7)+(T26-MAX(0,T26-U26)*Objetivos!$B$7)</f>
        <v>407732.978915618</v>
      </c>
      <c r="E26" s="146">
        <f>G26+M26+S26</f>
        <v>16761.4866266358</v>
      </c>
      <c r="F26" s="147">
        <f>J26+P26+V26</f>
        <v>0</v>
      </c>
      <c r="G26" s="148">
        <f>IF(B26&gt;=Objetivos!$B$11,0,IF(B26=1,Objetivos!$E$19*12+Objetivos!$C$19+Objetivos!$D$19,Objetivos!$E$19*12*(1+Objetivos!$B$9)^(B26-1)))</f>
        <v>6775.9201256613</v>
      </c>
      <c r="H26" s="149">
        <f>MAX(0,(H25-K25)*(1+Objetivos!$B$19)+G26)</f>
        <v>109997.932065254</v>
      </c>
      <c r="I26" s="148">
        <f>MAX(0,I25-IF(H25=0,0,J25*I25/H25)+G26)</f>
        <v>84563.350920534</v>
      </c>
      <c r="J26" s="150">
        <f>MIN(H26,SUMIFS(Objetivos!$I$26:$I$45,Objetivos!$E$26:$E$45,B26,Objetivos!$C$26:$C$45,"Único",Objetivos!$B$26:$B$45,Objetivos!$A$19)+SUMPRODUCT(((Objetivos!$C$26:$C$45="Renta")+(Objetivos!$C$26:$C$45="Jubilación"))*(Objetivos!$B$26:$B$45=Objetivos!$A$19)*(B26&gt;=Objetivos!$E$26:$E$45)*(B26&lt;Objetivos!$E$26:$E$45+Objetivos!$H$26:$H$45)*Objetivos!$G$26:$G$45)*12*(1+Objetivos!$B$6)^B26)</f>
        <v>0</v>
      </c>
      <c r="K26" s="148">
        <f>J26+IF(H26=0,0,J26*MAX(0,H26-I26)/H26)*Objetivos!$B$7</f>
        <v>0</v>
      </c>
      <c r="L26" s="151">
        <f>MAX(0,SUMIFS(Objetivos!$I$26:$I$45,Objetivos!$E$26:$E$45,B26,Objetivos!$C$26:$C$45,"Único",Objetivos!$B$26:$B$45,Objetivos!$A$19)+SUMPRODUCT(((Objetivos!$C$26:$C$45="Renta")+(Objetivos!$C$26:$C$45="Jubilación"))*(Objetivos!$B$26:$B$45=Objetivos!$A$19)*(B26&gt;=Objetivos!$E$26:$E$45)*(B26&lt;Objetivos!$E$26:$E$45+Objetivos!$H$26:$H$45)*Objetivos!$G$26:$G$45)*12*(1+Objetivos!$B$6)^B26-H26)</f>
        <v>0</v>
      </c>
      <c r="M26" s="148">
        <f>IF(B26&gt;=Objetivos!$B$11,0,IF(B26=1,Objetivos!$E$20*12+Objetivos!$C$20+Objetivos!$D$20,Objetivos!$E$20*12*(1+Objetivos!$B$9)^(B26-1)))</f>
        <v>7310.86118821351</v>
      </c>
      <c r="N26" s="149">
        <f>MAX(0,(N25-Q25)*(1+Objetivos!$B$20)+M26)</f>
        <v>238243.660803123</v>
      </c>
      <c r="O26" s="148">
        <f>MAX(0,O25-IF(N25=0,0,P25*O25/N25)+M26)</f>
        <v>123792.68836409</v>
      </c>
      <c r="P26" s="150">
        <f>MIN(N26,SUMIFS(Objetivos!$I$26:$I$45,Objetivos!$E$26:$E$45,B26,Objetivos!$C$26:$C$45,"Único",Objetivos!$B$26:$B$45,Objetivos!$A$20)+SUMPRODUCT(((Objetivos!$C$26:$C$45="Renta")+(Objetivos!$C$26:$C$45="Jubilación"))*(Objetivos!$B$26:$B$45=Objetivos!$A$20)*(B26&gt;=Objetivos!$E$26:$E$45)*(B26&lt;Objetivos!$E$26:$E$45+Objetivos!$H$26:$H$45)*Objetivos!$G$26:$G$45)*12*(1+Objetivos!$B$6)^B26)</f>
        <v>0</v>
      </c>
      <c r="Q26" s="148">
        <f>P26+IF(N26=0,0,P26*MAX(0,N26-O26)/N26)*Objetivos!$B$7</f>
        <v>0</v>
      </c>
      <c r="R26" s="151">
        <f>MAX(0,SUMIFS(Objetivos!$I$26:$I$45,Objetivos!$E$26:$E$45,B26,Objetivos!$C$26:$C$45,"Único",Objetivos!$B$26:$B$45,Objetivos!$A$20)+SUMPRODUCT(((Objetivos!$C$26:$C$45="Renta")+(Objetivos!$C$26:$C$45="Jubilación"))*(Objetivos!$B$26:$B$45=Objetivos!$A$20)*(B26&gt;=Objetivos!$E$26:$E$45)*(B26&lt;Objetivos!$E$26:$E$45+Objetivos!$H$26:$H$45)*Objetivos!$G$26:$G$45)*12*(1+Objetivos!$B$6)^B26-N26)</f>
        <v>0</v>
      </c>
      <c r="S26" s="148">
        <f>IF(B26&gt;=Objetivos!$B$11,0,IF(B26=1,Objetivos!$E$21*12+Objetivos!$C$21+Objetivos!$D$21,Objetivos!$E$21*12*(1+Objetivos!$B$9)^(B26-1)))</f>
        <v>2674.70531276104</v>
      </c>
      <c r="T26" s="149">
        <f>MAX(0,(T25-W25)*(1+Objetivos!$B$21)+S26)</f>
        <v>100097.454136523</v>
      </c>
      <c r="U26" s="148">
        <f>MAX(0,U25-IF(T25=0,0,V25*U25/T25)+S26)</f>
        <v>55409.9709508129</v>
      </c>
      <c r="V26" s="150">
        <f>MIN(T26,SUMIFS(Objetivos!$I$26:$I$45,Objetivos!$E$26:$E$45,B26,Objetivos!$C$26:$C$45,"Único",Objetivos!$B$26:$B$45,Objetivos!$A$21)+SUMPRODUCT(((Objetivos!$C$26:$C$45="Renta")+(Objetivos!$C$26:$C$45="Jubilación"))*(Objetivos!$B$26:$B$45=Objetivos!$A$21)*(B26&gt;=Objetivos!$E$26:$E$45)*(B26&lt;Objetivos!$E$26:$E$45+Objetivos!$H$26:$H$45)*Objetivos!$G$26:$G$45)*12*(1+Objetivos!$B$6)^B26)</f>
        <v>0</v>
      </c>
      <c r="W26" s="148">
        <f>V26+IF(T26=0,0,V26*MAX(0,T26-U26)/T26)*Objetivos!$B$7</f>
        <v>0</v>
      </c>
      <c r="X26" s="151">
        <f>MAX(0,SUMIFS(Objetivos!$I$26:$I$45,Objetivos!$E$26:$E$45,B26,Objetivos!$C$26:$C$45,"Único",Objetivos!$B$26:$B$45,Objetivos!$A$21)+SUMPRODUCT(((Objetivos!$C$26:$C$45="Renta")+(Objetivos!$C$26:$C$45="Jubilación"))*(Objetivos!$B$26:$B$45=Objetivos!$A$21)*(B26&gt;=Objetivos!$E$26:$E$45)*(B26&lt;Objetivos!$E$26:$E$45+Objetivos!$H$26:$H$45)*Objetivos!$G$26:$G$45)*12*(1+Objetivos!$B$6)^B26-T26)</f>
        <v>0</v>
      </c>
    </row>
    <row r="27">
      <c r="A27" s="152">
        <f>Objetivos!$B$5+B27</f>
        <v>2048</v>
      </c>
      <c r="B27" s="153" t="n">
        <v>22</v>
      </c>
      <c r="C27" s="154">
        <f>H27+N27+T27</f>
        <v>488585.183341365</v>
      </c>
      <c r="D27" s="154">
        <f>(H27-MAX(0,H27-I27)*Objetivos!$B$7)+(N27-MAX(0,N27-O27)*Objetivos!$B$7)+(T27-MAX(0,T27-U27)*Objetivos!$B$7)</f>
        <v>442886.242857078</v>
      </c>
      <c r="E27" s="155">
        <f>G27+M27+S27</f>
        <v>17096.7163591686</v>
      </c>
      <c r="F27" s="156">
        <f>J27+P27+V27</f>
        <v>0</v>
      </c>
      <c r="G27" s="157">
        <f>IF(B27&gt;=Objetivos!$B$11,0,IF(B27=1,Objetivos!$E$19*12+Objetivos!$C$19+Objetivos!$D$19,Objetivos!$E$19*12*(1+Objetivos!$B$9)^(B27-1)))</f>
        <v>6911.43852817452</v>
      </c>
      <c r="H27" s="158">
        <f>MAX(0,(H26-K26)*(1+Objetivos!$B$19)+G27)</f>
        <v>120759.298215712</v>
      </c>
      <c r="I27" s="157">
        <f>MAX(0,I26-IF(H26=0,0,J26*I26/H26)+G27)</f>
        <v>91474.7894487086</v>
      </c>
      <c r="J27" s="159">
        <f>MIN(H27,SUMIFS(Objetivos!$I$26:$I$45,Objetivos!$E$26:$E$45,B27,Objetivos!$C$26:$C$45,"Único",Objetivos!$B$26:$B$45,Objetivos!$A$19)+SUMPRODUCT(((Objetivos!$C$26:$C$45="Renta")+(Objetivos!$C$26:$C$45="Jubilación"))*(Objetivos!$B$26:$B$45=Objetivos!$A$19)*(B27&gt;=Objetivos!$E$26:$E$45)*(B27&lt;Objetivos!$E$26:$E$45+Objetivos!$H$26:$H$45)*Objetivos!$G$26:$G$45)*12*(1+Objetivos!$B$6)^B27)</f>
        <v>0</v>
      </c>
      <c r="K27" s="157">
        <f>J27+IF(H27=0,0,J27*MAX(0,H27-I27)/H27)*Objetivos!$B$7</f>
        <v>0</v>
      </c>
      <c r="L27" s="160">
        <f>MAX(0,SUMIFS(Objetivos!$I$26:$I$45,Objetivos!$E$26:$E$45,B27,Objetivos!$C$26:$C$45,"Único",Objetivos!$B$26:$B$45,Objetivos!$A$19)+SUMPRODUCT(((Objetivos!$C$26:$C$45="Renta")+(Objetivos!$C$26:$C$45="Jubilación"))*(Objetivos!$B$26:$B$45=Objetivos!$A$19)*(B27&gt;=Objetivos!$E$26:$E$45)*(B27&lt;Objetivos!$E$26:$E$45+Objetivos!$H$26:$H$45)*Objetivos!$G$26:$G$45)*12*(1+Objetivos!$B$6)^B27-H27)</f>
        <v>0</v>
      </c>
      <c r="M27" s="157">
        <f>IF(B27&gt;=Objetivos!$B$11,0,IF(B27=1,Objetivos!$E$20*12+Objetivos!$C$20+Objetivos!$D$20,Objetivos!$E$20*12*(1+Objetivos!$B$9)^(B27-1)))</f>
        <v>7457.07841197778</v>
      </c>
      <c r="N27" s="158">
        <f>MAX(0,(N26-Q26)*(1+Objetivos!$B$20)+M27)</f>
        <v>259995.358863288</v>
      </c>
      <c r="O27" s="157">
        <f>MAX(0,O26-IF(N26=0,0,P26*O26/N26)+M27)</f>
        <v>131249.766776068</v>
      </c>
      <c r="P27" s="159">
        <f>MIN(N27,SUMIFS(Objetivos!$I$26:$I$45,Objetivos!$E$26:$E$45,B27,Objetivos!$C$26:$C$45,"Único",Objetivos!$B$26:$B$45,Objetivos!$A$20)+SUMPRODUCT(((Objetivos!$C$26:$C$45="Renta")+(Objetivos!$C$26:$C$45="Jubilación"))*(Objetivos!$B$26:$B$45=Objetivos!$A$20)*(B27&gt;=Objetivos!$E$26:$E$45)*(B27&lt;Objetivos!$E$26:$E$45+Objetivos!$H$26:$H$45)*Objetivos!$G$26:$G$45)*12*(1+Objetivos!$B$6)^B27)</f>
        <v>0</v>
      </c>
      <c r="Q27" s="157">
        <f>P27+IF(N27=0,0,P27*MAX(0,N27-O27)/N27)*Objetivos!$B$7</f>
        <v>0</v>
      </c>
      <c r="R27" s="160">
        <f>MAX(0,SUMIFS(Objetivos!$I$26:$I$45,Objetivos!$E$26:$E$45,B27,Objetivos!$C$26:$C$45,"Único",Objetivos!$B$26:$B$45,Objetivos!$A$20)+SUMPRODUCT(((Objetivos!$C$26:$C$45="Renta")+(Objetivos!$C$26:$C$45="Jubilación"))*(Objetivos!$B$26:$B$45=Objetivos!$A$20)*(B27&gt;=Objetivos!$E$26:$E$45)*(B27&lt;Objetivos!$E$26:$E$45+Objetivos!$H$26:$H$45)*Objetivos!$G$26:$G$45)*12*(1+Objetivos!$B$6)^B27-N27)</f>
        <v>0</v>
      </c>
      <c r="S27" s="157">
        <f>IF(B27&gt;=Objetivos!$B$11,0,IF(B27=1,Objetivos!$E$21*12+Objetivos!$C$21+Objetivos!$D$21,Objetivos!$E$21*12*(1+Objetivos!$B$9)^(B27-1)))</f>
        <v>2728.19941901626</v>
      </c>
      <c r="T27" s="158">
        <f>MAX(0,(T26-W26)*(1+Objetivos!$B$21)+S27)</f>
        <v>107830.526262365</v>
      </c>
      <c r="U27" s="157">
        <f>MAX(0,U26-IF(T26=0,0,V26*U26/T26)+S27)</f>
        <v>58138.1703698292</v>
      </c>
      <c r="V27" s="159">
        <f>MIN(T27,SUMIFS(Objetivos!$I$26:$I$45,Objetivos!$E$26:$E$45,B27,Objetivos!$C$26:$C$45,"Único",Objetivos!$B$26:$B$45,Objetivos!$A$21)+SUMPRODUCT(((Objetivos!$C$26:$C$45="Renta")+(Objetivos!$C$26:$C$45="Jubilación"))*(Objetivos!$B$26:$B$45=Objetivos!$A$21)*(B27&gt;=Objetivos!$E$26:$E$45)*(B27&lt;Objetivos!$E$26:$E$45+Objetivos!$H$26:$H$45)*Objetivos!$G$26:$G$45)*12*(1+Objetivos!$B$6)^B27)</f>
        <v>0</v>
      </c>
      <c r="W27" s="157">
        <f>V27+IF(T27=0,0,V27*MAX(0,T27-U27)/T27)*Objetivos!$B$7</f>
        <v>0</v>
      </c>
      <c r="X27" s="160">
        <f>MAX(0,SUMIFS(Objetivos!$I$26:$I$45,Objetivos!$E$26:$E$45,B27,Objetivos!$C$26:$C$45,"Único",Objetivos!$B$26:$B$45,Objetivos!$A$21)+SUMPRODUCT(((Objetivos!$C$26:$C$45="Renta")+(Objetivos!$C$26:$C$45="Jubilación"))*(Objetivos!$B$26:$B$45=Objetivos!$A$21)*(B27&gt;=Objetivos!$E$26:$E$45)*(B27&lt;Objetivos!$E$26:$E$45+Objetivos!$H$26:$H$45)*Objetivos!$G$26:$G$45)*12*(1+Objetivos!$B$6)^B27-T27)</f>
        <v>0</v>
      </c>
    </row>
    <row r="28">
      <c r="A28" s="144">
        <f>Objetivos!$B$5+B28</f>
        <v>2049</v>
      </c>
      <c r="B28" s="145" t="n">
        <v>23</v>
      </c>
      <c r="C28" s="126">
        <f>H28+N28+T28</f>
        <v>531241.657310183</v>
      </c>
      <c r="D28" s="126">
        <f>(H28-MAX(0,H28-I28)*Objetivos!$B$7)+(N28-MAX(0,N28-O28)*Objetivos!$B$7)+(T28-MAX(0,T28-U28)*Objetivos!$B$7)</f>
        <v>479994.795703753</v>
      </c>
      <c r="E28" s="146">
        <f>G28+M28+S28</f>
        <v>17438.6506863519</v>
      </c>
      <c r="F28" s="147">
        <f>J28+P28+V28</f>
        <v>0</v>
      </c>
      <c r="G28" s="148">
        <f>IF(B28&gt;=Objetivos!$B$11,0,IF(B28=1,Objetivos!$E$19*12+Objetivos!$C$19+Objetivos!$D$19,Objetivos!$E$19*12*(1+Objetivos!$B$9)^(B28-1)))</f>
        <v>7049.66729873801</v>
      </c>
      <c r="H28" s="149">
        <f>MAX(0,(H27-K27)*(1+Objetivos!$B$19)+G28)</f>
        <v>132035.540952</v>
      </c>
      <c r="I28" s="148">
        <f>MAX(0,I27-IF(H27=0,0,J27*I27/H27)+G28)</f>
        <v>98524.4567474466</v>
      </c>
      <c r="J28" s="150">
        <f>MIN(H28,SUMIFS(Objetivos!$I$26:$I$45,Objetivos!$E$26:$E$45,B28,Objetivos!$C$26:$C$45,"Único",Objetivos!$B$26:$B$45,Objetivos!$A$19)+SUMPRODUCT(((Objetivos!$C$26:$C$45="Renta")+(Objetivos!$C$26:$C$45="Jubilación"))*(Objetivos!$B$26:$B$45=Objetivos!$A$19)*(B28&gt;=Objetivos!$E$26:$E$45)*(B28&lt;Objetivos!$E$26:$E$45+Objetivos!$H$26:$H$45)*Objetivos!$G$26:$G$45)*12*(1+Objetivos!$B$6)^B28)</f>
        <v>0</v>
      </c>
      <c r="K28" s="148">
        <f>J28+IF(H28=0,0,J28*MAX(0,H28-I28)/H28)*Objetivos!$B$7</f>
        <v>0</v>
      </c>
      <c r="L28" s="151">
        <f>MAX(0,SUMIFS(Objetivos!$I$26:$I$45,Objetivos!$E$26:$E$45,B28,Objetivos!$C$26:$C$45,"Único",Objetivos!$B$26:$B$45,Objetivos!$A$19)+SUMPRODUCT(((Objetivos!$C$26:$C$45="Renta")+(Objetivos!$C$26:$C$45="Jubilación"))*(Objetivos!$B$26:$B$45=Objetivos!$A$19)*(B28&gt;=Objetivos!$E$26:$E$45)*(B28&lt;Objetivos!$E$26:$E$45+Objetivos!$H$26:$H$45)*Objetivos!$G$26:$G$45)*12*(1+Objetivos!$B$6)^B28-H28)</f>
        <v>0</v>
      </c>
      <c r="M28" s="148">
        <f>IF(B28&gt;=Objetivos!$B$11,0,IF(B28=1,Objetivos!$E$20*12+Objetivos!$C$20+Objetivos!$D$20,Objetivos!$E$20*12*(1+Objetivos!$B$9)^(B28-1)))</f>
        <v>7606.21998021733</v>
      </c>
      <c r="N28" s="149">
        <f>MAX(0,(N27-Q27)*(1+Objetivos!$B$20)+M28)</f>
        <v>283201.300375302</v>
      </c>
      <c r="O28" s="148">
        <f>MAX(0,O27-IF(N27=0,0,P27*O27/N27)+M28)</f>
        <v>138855.986756285</v>
      </c>
      <c r="P28" s="150">
        <f>MIN(N28,SUMIFS(Objetivos!$I$26:$I$45,Objetivos!$E$26:$E$45,B28,Objetivos!$C$26:$C$45,"Único",Objetivos!$B$26:$B$45,Objetivos!$A$20)+SUMPRODUCT(((Objetivos!$C$26:$C$45="Renta")+(Objetivos!$C$26:$C$45="Jubilación"))*(Objetivos!$B$26:$B$45=Objetivos!$A$20)*(B28&gt;=Objetivos!$E$26:$E$45)*(B28&lt;Objetivos!$E$26:$E$45+Objetivos!$H$26:$H$45)*Objetivos!$G$26:$G$45)*12*(1+Objetivos!$B$6)^B28)</f>
        <v>0</v>
      </c>
      <c r="Q28" s="148">
        <f>P28+IF(N28=0,0,P28*MAX(0,N28-O28)/N28)*Objetivos!$B$7</f>
        <v>0</v>
      </c>
      <c r="R28" s="151">
        <f>MAX(0,SUMIFS(Objetivos!$I$26:$I$45,Objetivos!$E$26:$E$45,B28,Objetivos!$C$26:$C$45,"Único",Objetivos!$B$26:$B$45,Objetivos!$A$20)+SUMPRODUCT(((Objetivos!$C$26:$C$45="Renta")+(Objetivos!$C$26:$C$45="Jubilación"))*(Objetivos!$B$26:$B$45=Objetivos!$A$20)*(B28&gt;=Objetivos!$E$26:$E$45)*(B28&lt;Objetivos!$E$26:$E$45+Objetivos!$H$26:$H$45)*Objetivos!$G$26:$G$45)*12*(1+Objetivos!$B$6)^B28-N28)</f>
        <v>0</v>
      </c>
      <c r="S28" s="148">
        <f>IF(B28&gt;=Objetivos!$B$11,0,IF(B28=1,Objetivos!$E$21*12+Objetivos!$C$21+Objetivos!$D$21,Objetivos!$E$21*12*(1+Objetivos!$B$9)^(B28-1)))</f>
        <v>2782.76340739658</v>
      </c>
      <c r="T28" s="149">
        <f>MAX(0,(T27-W27)*(1+Objetivos!$B$21)+S28)</f>
        <v>116004.81598288</v>
      </c>
      <c r="U28" s="148">
        <f>MAX(0,U27-IF(T27=0,0,V27*U27/T27)+S28)</f>
        <v>60920.9337772258</v>
      </c>
      <c r="V28" s="150">
        <f>MIN(T28,SUMIFS(Objetivos!$I$26:$I$45,Objetivos!$E$26:$E$45,B28,Objetivos!$C$26:$C$45,"Único",Objetivos!$B$26:$B$45,Objetivos!$A$21)+SUMPRODUCT(((Objetivos!$C$26:$C$45="Renta")+(Objetivos!$C$26:$C$45="Jubilación"))*(Objetivos!$B$26:$B$45=Objetivos!$A$21)*(B28&gt;=Objetivos!$E$26:$E$45)*(B28&lt;Objetivos!$E$26:$E$45+Objetivos!$H$26:$H$45)*Objetivos!$G$26:$G$45)*12*(1+Objetivos!$B$6)^B28)</f>
        <v>0</v>
      </c>
      <c r="W28" s="148">
        <f>V28+IF(T28=0,0,V28*MAX(0,T28-U28)/T28)*Objetivos!$B$7</f>
        <v>0</v>
      </c>
      <c r="X28" s="151">
        <f>MAX(0,SUMIFS(Objetivos!$I$26:$I$45,Objetivos!$E$26:$E$45,B28,Objetivos!$C$26:$C$45,"Único",Objetivos!$B$26:$B$45,Objetivos!$A$21)+SUMPRODUCT(((Objetivos!$C$26:$C$45="Renta")+(Objetivos!$C$26:$C$45="Jubilación"))*(Objetivos!$B$26:$B$45=Objetivos!$A$21)*(B28&gt;=Objetivos!$E$26:$E$45)*(B28&lt;Objetivos!$E$26:$E$45+Objetivos!$H$26:$H$45)*Objetivos!$G$26:$G$45)*12*(1+Objetivos!$B$6)^B28-T28)</f>
        <v>0</v>
      </c>
    </row>
    <row r="29">
      <c r="A29" s="152">
        <f>Objetivos!$B$5+B29</f>
        <v>2050</v>
      </c>
      <c r="B29" s="153" t="n">
        <v>24</v>
      </c>
      <c r="C29" s="154">
        <f>H29+N29+T29</f>
        <v>576442.643765244</v>
      </c>
      <c r="D29" s="154">
        <f>(H29-MAX(0,H29-I29)*Objetivos!$B$7)+(N29-MAX(0,N29-O29)*Objetivos!$B$7)+(T29-MAX(0,T29-U29)*Objetivos!$B$7)</f>
        <v>519164.798352718</v>
      </c>
      <c r="E29" s="155">
        <f>G29+M29+S29</f>
        <v>17787.423700079</v>
      </c>
      <c r="F29" s="156">
        <f>J29+P29+V29</f>
        <v>0</v>
      </c>
      <c r="G29" s="157">
        <f>IF(B29&gt;=Objetivos!$B$11,0,IF(B29=1,Objetivos!$E$19*12+Objetivos!$C$19+Objetivos!$D$19,Objetivos!$E$19*12*(1+Objetivos!$B$9)^(B29-1)))</f>
        <v>7190.66064471278</v>
      </c>
      <c r="H29" s="158">
        <f>MAX(0,(H28-K28)*(1+Objetivos!$B$19)+G29)</f>
        <v>143847.445530033</v>
      </c>
      <c r="I29" s="157">
        <f>MAX(0,I28-IF(H28=0,0,J28*I28/H28)+G29)</f>
        <v>105715.117392159</v>
      </c>
      <c r="J29" s="159">
        <f>MIN(H29,SUMIFS(Objetivos!$I$26:$I$45,Objetivos!$E$26:$E$45,B29,Objetivos!$C$26:$C$45,"Único",Objetivos!$B$26:$B$45,Objetivos!$A$19)+SUMPRODUCT(((Objetivos!$C$26:$C$45="Renta")+(Objetivos!$C$26:$C$45="Jubilación"))*(Objetivos!$B$26:$B$45=Objetivos!$A$19)*(B29&gt;=Objetivos!$E$26:$E$45)*(B29&lt;Objetivos!$E$26:$E$45+Objetivos!$H$26:$H$45)*Objetivos!$G$26:$G$45)*12*(1+Objetivos!$B$6)^B29)</f>
        <v>0</v>
      </c>
      <c r="K29" s="157">
        <f>J29+IF(H29=0,0,J29*MAX(0,H29-I29)/H29)*Objetivos!$B$7</f>
        <v>0</v>
      </c>
      <c r="L29" s="160">
        <f>MAX(0,SUMIFS(Objetivos!$I$26:$I$45,Objetivos!$E$26:$E$45,B29,Objetivos!$C$26:$C$45,"Único",Objetivos!$B$26:$B$45,Objetivos!$A$19)+SUMPRODUCT(((Objetivos!$C$26:$C$45="Renta")+(Objetivos!$C$26:$C$45="Jubilación"))*(Objetivos!$B$26:$B$45=Objetivos!$A$19)*(B29&gt;=Objetivos!$E$26:$E$45)*(B29&lt;Objetivos!$E$26:$E$45+Objetivos!$H$26:$H$45)*Objetivos!$G$26:$G$45)*12*(1+Objetivos!$B$6)^B29-H29)</f>
        <v>0</v>
      </c>
      <c r="M29" s="157">
        <f>IF(B29&gt;=Objetivos!$B$11,0,IF(B29=1,Objetivos!$E$20*12+Objetivos!$C$20+Objetivos!$D$20,Objetivos!$E$20*12*(1+Objetivos!$B$9)^(B29-1)))</f>
        <v>7758.34437982168</v>
      </c>
      <c r="N29" s="158">
        <f>MAX(0,(N28-Q28)*(1+Objetivos!$B$20)+M29)</f>
        <v>307951.722777642</v>
      </c>
      <c r="O29" s="157">
        <f>MAX(0,O28-IF(N28=0,0,P28*O28/N28)+M29)</f>
        <v>146614.331136107</v>
      </c>
      <c r="P29" s="159">
        <f>MIN(N29,SUMIFS(Objetivos!$I$26:$I$45,Objetivos!$E$26:$E$45,B29,Objetivos!$C$26:$C$45,"Único",Objetivos!$B$26:$B$45,Objetivos!$A$20)+SUMPRODUCT(((Objetivos!$C$26:$C$45="Renta")+(Objetivos!$C$26:$C$45="Jubilación"))*(Objetivos!$B$26:$B$45=Objetivos!$A$20)*(B29&gt;=Objetivos!$E$26:$E$45)*(B29&lt;Objetivos!$E$26:$E$45+Objetivos!$H$26:$H$45)*Objetivos!$G$26:$G$45)*12*(1+Objetivos!$B$6)^B29)</f>
        <v>0</v>
      </c>
      <c r="Q29" s="157">
        <f>P29+IF(N29=0,0,P29*MAX(0,N29-O29)/N29)*Objetivos!$B$7</f>
        <v>0</v>
      </c>
      <c r="R29" s="160">
        <f>MAX(0,SUMIFS(Objetivos!$I$26:$I$45,Objetivos!$E$26:$E$45,B29,Objetivos!$C$26:$C$45,"Único",Objetivos!$B$26:$B$45,Objetivos!$A$20)+SUMPRODUCT(((Objetivos!$C$26:$C$45="Renta")+(Objetivos!$C$26:$C$45="Jubilación"))*(Objetivos!$B$26:$B$45=Objetivos!$A$20)*(B29&gt;=Objetivos!$E$26:$E$45)*(B29&lt;Objetivos!$E$26:$E$45+Objetivos!$H$26:$H$45)*Objetivos!$G$26:$G$45)*12*(1+Objetivos!$B$6)^B29-N29)</f>
        <v>0</v>
      </c>
      <c r="S29" s="157">
        <f>IF(B29&gt;=Objetivos!$B$11,0,IF(B29=1,Objetivos!$E$21*12+Objetivos!$C$21+Objetivos!$D$21,Objetivos!$E$21*12*(1+Objetivos!$B$9)^(B29-1)))</f>
        <v>2838.41867554452</v>
      </c>
      <c r="T29" s="158">
        <f>MAX(0,(T28-W28)*(1+Objetivos!$B$21)+S29)</f>
        <v>124643.475457569</v>
      </c>
      <c r="U29" s="157">
        <f>MAX(0,U28-IF(T28=0,0,V28*U28/T28)+S29)</f>
        <v>63759.3524527703</v>
      </c>
      <c r="V29" s="159">
        <f>MIN(T29,SUMIFS(Objetivos!$I$26:$I$45,Objetivos!$E$26:$E$45,B29,Objetivos!$C$26:$C$45,"Único",Objetivos!$B$26:$B$45,Objetivos!$A$21)+SUMPRODUCT(((Objetivos!$C$26:$C$45="Renta")+(Objetivos!$C$26:$C$45="Jubilación"))*(Objetivos!$B$26:$B$45=Objetivos!$A$21)*(B29&gt;=Objetivos!$E$26:$E$45)*(B29&lt;Objetivos!$E$26:$E$45+Objetivos!$H$26:$H$45)*Objetivos!$G$26:$G$45)*12*(1+Objetivos!$B$6)^B29)</f>
        <v>0</v>
      </c>
      <c r="W29" s="157">
        <f>V29+IF(T29=0,0,V29*MAX(0,T29-U29)/T29)*Objetivos!$B$7</f>
        <v>0</v>
      </c>
      <c r="X29" s="160">
        <f>MAX(0,SUMIFS(Objetivos!$I$26:$I$45,Objetivos!$E$26:$E$45,B29,Objetivos!$C$26:$C$45,"Único",Objetivos!$B$26:$B$45,Objetivos!$A$21)+SUMPRODUCT(((Objetivos!$C$26:$C$45="Renta")+(Objetivos!$C$26:$C$45="Jubilación"))*(Objetivos!$B$26:$B$45=Objetivos!$A$21)*(B29&gt;=Objetivos!$E$26:$E$45)*(B29&lt;Objetivos!$E$26:$E$45+Objetivos!$H$26:$H$45)*Objetivos!$G$26:$G$45)*12*(1+Objetivos!$B$6)^B29-T29)</f>
        <v>0</v>
      </c>
    </row>
    <row r="30">
      <c r="A30" s="144">
        <f>Objetivos!$B$5+B30</f>
        <v>2051</v>
      </c>
      <c r="B30" s="145" t="n">
        <v>25</v>
      </c>
      <c r="C30" s="126">
        <f>H30+N30+T30</f>
        <v>624329.753672413</v>
      </c>
      <c r="D30" s="126">
        <f>(H30-MAX(0,H30-I30)*Objetivos!$B$7)+(N30-MAX(0,N30-O30)*Objetivos!$B$7)+(T30-MAX(0,T30-U30)*Objetivos!$B$7)</f>
        <v>560508.241958608</v>
      </c>
      <c r="E30" s="146">
        <f>G30+M30+S30</f>
        <v>18143.1721740806</v>
      </c>
      <c r="F30" s="147">
        <f>J30+P30+V30</f>
        <v>0</v>
      </c>
      <c r="G30" s="148">
        <f>IF(B30&gt;=Objetivos!$B$11,0,IF(B30=1,Objetivos!$E$19*12+Objetivos!$C$19+Objetivos!$D$19,Objetivos!$E$19*12*(1+Objetivos!$B$9)^(B30-1)))</f>
        <v>7334.47385760703</v>
      </c>
      <c r="H30" s="149">
        <f>MAX(0,(H29-K29)*(1+Objetivos!$B$19)+G30)</f>
        <v>156216.579981191</v>
      </c>
      <c r="I30" s="148">
        <f>MAX(0,I29-IF(H29=0,0,J29*I29/H29)+G30)</f>
        <v>113049.591249766</v>
      </c>
      <c r="J30" s="150">
        <f>MIN(H30,SUMIFS(Objetivos!$I$26:$I$45,Objetivos!$E$26:$E$45,B30,Objetivos!$C$26:$C$45,"Único",Objetivos!$B$26:$B$45,Objetivos!$A$19)+SUMPRODUCT(((Objetivos!$C$26:$C$45="Renta")+(Objetivos!$C$26:$C$45="Jubilación"))*(Objetivos!$B$26:$B$45=Objetivos!$A$19)*(B30&gt;=Objetivos!$E$26:$E$45)*(B30&lt;Objetivos!$E$26:$E$45+Objetivos!$H$26:$H$45)*Objetivos!$G$26:$G$45)*12*(1+Objetivos!$B$6)^B30)</f>
        <v>0</v>
      </c>
      <c r="K30" s="148">
        <f>J30+IF(H30=0,0,J30*MAX(0,H30-I30)/H30)*Objetivos!$B$7</f>
        <v>0</v>
      </c>
      <c r="L30" s="151">
        <f>MAX(0,SUMIFS(Objetivos!$I$26:$I$45,Objetivos!$E$26:$E$45,B30,Objetivos!$C$26:$C$45,"Único",Objetivos!$B$26:$B$45,Objetivos!$A$19)+SUMPRODUCT(((Objetivos!$C$26:$C$45="Renta")+(Objetivos!$C$26:$C$45="Jubilación"))*(Objetivos!$B$26:$B$45=Objetivos!$A$19)*(B30&gt;=Objetivos!$E$26:$E$45)*(B30&lt;Objetivos!$E$26:$E$45+Objetivos!$H$26:$H$45)*Objetivos!$G$26:$G$45)*12*(1+Objetivos!$B$6)^B30-H30)</f>
        <v>0</v>
      </c>
      <c r="M30" s="148">
        <f>IF(B30&gt;=Objetivos!$B$11,0,IF(B30=1,Objetivos!$E$20*12+Objetivos!$C$20+Objetivos!$D$20,Objetivos!$E$20*12*(1+Objetivos!$B$9)^(B30-1)))</f>
        <v>7913.51126741811</v>
      </c>
      <c r="N30" s="149">
        <f>MAX(0,(N29-Q29)*(1+Objetivos!$B$20)+M30)</f>
        <v>334342.337411719</v>
      </c>
      <c r="O30" s="148">
        <f>MAX(0,O29-IF(N29=0,0,P29*O29/N29)+M30)</f>
        <v>154527.842403525</v>
      </c>
      <c r="P30" s="150">
        <f>MIN(N30,SUMIFS(Objetivos!$I$26:$I$45,Objetivos!$E$26:$E$45,B30,Objetivos!$C$26:$C$45,"Único",Objetivos!$B$26:$B$45,Objetivos!$A$20)+SUMPRODUCT(((Objetivos!$C$26:$C$45="Renta")+(Objetivos!$C$26:$C$45="Jubilación"))*(Objetivos!$B$26:$B$45=Objetivos!$A$20)*(B30&gt;=Objetivos!$E$26:$E$45)*(B30&lt;Objetivos!$E$26:$E$45+Objetivos!$H$26:$H$45)*Objetivos!$G$26:$G$45)*12*(1+Objetivos!$B$6)^B30)</f>
        <v>0</v>
      </c>
      <c r="Q30" s="148">
        <f>P30+IF(N30=0,0,P30*MAX(0,N30-O30)/N30)*Objetivos!$B$7</f>
        <v>0</v>
      </c>
      <c r="R30" s="151">
        <f>MAX(0,SUMIFS(Objetivos!$I$26:$I$45,Objetivos!$E$26:$E$45,B30,Objetivos!$C$26:$C$45,"Único",Objetivos!$B$26:$B$45,Objetivos!$A$20)+SUMPRODUCT(((Objetivos!$C$26:$C$45="Renta")+(Objetivos!$C$26:$C$45="Jubilación"))*(Objetivos!$B$26:$B$45=Objetivos!$A$20)*(B30&gt;=Objetivos!$E$26:$E$45)*(B30&lt;Objetivos!$E$26:$E$45+Objetivos!$H$26:$H$45)*Objetivos!$G$26:$G$45)*12*(1+Objetivos!$B$6)^B30-N30)</f>
        <v>0</v>
      </c>
      <c r="S30" s="148">
        <f>IF(B30&gt;=Objetivos!$B$11,0,IF(B30=1,Objetivos!$E$21*12+Objetivos!$C$21+Objetivos!$D$21,Objetivos!$E$21*12*(1+Objetivos!$B$9)^(B30-1)))</f>
        <v>2895.18704905541</v>
      </c>
      <c r="T30" s="149">
        <f>MAX(0,(T29-W29)*(1+Objetivos!$B$21)+S30)</f>
        <v>133770.836279503</v>
      </c>
      <c r="U30" s="148">
        <f>MAX(0,U29-IF(T29=0,0,V29*U29/T29)+S30)</f>
        <v>66654.5395018257</v>
      </c>
      <c r="V30" s="150">
        <f>MIN(T30,SUMIFS(Objetivos!$I$26:$I$45,Objetivos!$E$26:$E$45,B30,Objetivos!$C$26:$C$45,"Único",Objetivos!$B$26:$B$45,Objetivos!$A$21)+SUMPRODUCT(((Objetivos!$C$26:$C$45="Renta")+(Objetivos!$C$26:$C$45="Jubilación"))*(Objetivos!$B$26:$B$45=Objetivos!$A$21)*(B30&gt;=Objetivos!$E$26:$E$45)*(B30&lt;Objetivos!$E$26:$E$45+Objetivos!$H$26:$H$45)*Objetivos!$G$26:$G$45)*12*(1+Objetivos!$B$6)^B30)</f>
        <v>0</v>
      </c>
      <c r="W30" s="148">
        <f>V30+IF(T30=0,0,V30*MAX(0,T30-U30)/T30)*Objetivos!$B$7</f>
        <v>0</v>
      </c>
      <c r="X30" s="151">
        <f>MAX(0,SUMIFS(Objetivos!$I$26:$I$45,Objetivos!$E$26:$E$45,B30,Objetivos!$C$26:$C$45,"Único",Objetivos!$B$26:$B$45,Objetivos!$A$21)+SUMPRODUCT(((Objetivos!$C$26:$C$45="Renta")+(Objetivos!$C$26:$C$45="Jubilación"))*(Objetivos!$B$26:$B$45=Objetivos!$A$21)*(B30&gt;=Objetivos!$E$26:$E$45)*(B30&lt;Objetivos!$E$26:$E$45+Objetivos!$H$26:$H$45)*Objetivos!$G$26:$G$45)*12*(1+Objetivos!$B$6)^B30-T30)</f>
        <v>0</v>
      </c>
    </row>
    <row r="31">
      <c r="A31" s="152">
        <f>Objetivos!$B$5+B31</f>
        <v>2052</v>
      </c>
      <c r="B31" s="153" t="n">
        <v>26</v>
      </c>
      <c r="C31" s="154">
        <f>H31+N31+T31</f>
        <v>675052.451647995</v>
      </c>
      <c r="D31" s="154">
        <f>(H31-MAX(0,H31-I31)*Objetivos!$B$7)+(N31-MAX(0,N31-O31)*Objetivos!$B$7)+(T31-MAX(0,T31-U31)*Objetivos!$B$7)</f>
        <v>604143.274215425</v>
      </c>
      <c r="E31" s="155">
        <f>G31+M31+S31</f>
        <v>18506.0356175622</v>
      </c>
      <c r="F31" s="156">
        <f>J31+P31+V31</f>
        <v>22803.5124093625</v>
      </c>
      <c r="G31" s="157">
        <f>IF(B31&gt;=Objetivos!$B$11,0,IF(B31=1,Objetivos!$E$19*12+Objetivos!$C$19+Objetivos!$D$19,Objetivos!$E$19*12*(1+Objetivos!$B$9)^(B31-1)))</f>
        <v>7481.16333475917</v>
      </c>
      <c r="H31" s="158">
        <f>MAX(0,(H30-K30)*(1+Objetivos!$B$19)+G31)</f>
        <v>169165.323615292</v>
      </c>
      <c r="I31" s="157">
        <f>MAX(0,I30-IF(H30=0,0,J30*I30/H30)+G31)</f>
        <v>120530.754584526</v>
      </c>
      <c r="J31" s="159">
        <f>MIN(H31,SUMIFS(Objetivos!$I$26:$I$45,Objetivos!$E$26:$E$45,B31,Objetivos!$C$26:$C$45,"Único",Objetivos!$B$26:$B$45,Objetivos!$A$19)+SUMPRODUCT(((Objetivos!$C$26:$C$45="Renta")+(Objetivos!$C$26:$C$45="Jubilación"))*(Objetivos!$B$26:$B$45=Objetivos!$A$19)*(B31&gt;=Objetivos!$E$26:$E$45)*(B31&lt;Objetivos!$E$26:$E$45+Objetivos!$H$26:$H$45)*Objetivos!$G$26:$G$45)*12*(1+Objetivos!$B$6)^B31)</f>
        <v>22803.5124093625</v>
      </c>
      <c r="K31" s="157">
        <f>J31+IF(H31=0,0,J31*MAX(0,H31-I31)/H31)*Objetivos!$B$7</f>
        <v>24245.8208827386</v>
      </c>
      <c r="L31" s="160">
        <f>MAX(0,SUMIFS(Objetivos!$I$26:$I$45,Objetivos!$E$26:$E$45,B31,Objetivos!$C$26:$C$45,"Único",Objetivos!$B$26:$B$45,Objetivos!$A$19)+SUMPRODUCT(((Objetivos!$C$26:$C$45="Renta")+(Objetivos!$C$26:$C$45="Jubilación"))*(Objetivos!$B$26:$B$45=Objetivos!$A$19)*(B31&gt;=Objetivos!$E$26:$E$45)*(B31&lt;Objetivos!$E$26:$E$45+Objetivos!$H$26:$H$45)*Objetivos!$G$26:$G$45)*12*(1+Objetivos!$B$6)^B31-H31)</f>
        <v>0</v>
      </c>
      <c r="M31" s="157">
        <f>IF(B31&gt;=Objetivos!$B$11,0,IF(B31=1,Objetivos!$E$20*12+Objetivos!$C$20+Objetivos!$D$20,Objetivos!$E$20*12*(1+Objetivos!$B$9)^(B31-1)))</f>
        <v>8071.78149276648</v>
      </c>
      <c r="N31" s="158">
        <f>MAX(0,(N30-Q30)*(1+Objetivos!$B$20)+M31)</f>
        <v>362474.659149188</v>
      </c>
      <c r="O31" s="157">
        <f>MAX(0,O30-IF(N30=0,0,P30*O30/N30)+M31)</f>
        <v>162599.623896291</v>
      </c>
      <c r="P31" s="159">
        <f>MIN(N31,SUMIFS(Objetivos!$I$26:$I$45,Objetivos!$E$26:$E$45,B31,Objetivos!$C$26:$C$45,"Único",Objetivos!$B$26:$B$45,Objetivos!$A$20)+SUMPRODUCT(((Objetivos!$C$26:$C$45="Renta")+(Objetivos!$C$26:$C$45="Jubilación"))*(Objetivos!$B$26:$B$45=Objetivos!$A$20)*(B31&gt;=Objetivos!$E$26:$E$45)*(B31&lt;Objetivos!$E$26:$E$45+Objetivos!$H$26:$H$45)*Objetivos!$G$26:$G$45)*12*(1+Objetivos!$B$6)^B31)</f>
        <v>0</v>
      </c>
      <c r="Q31" s="157">
        <f>P31+IF(N31=0,0,P31*MAX(0,N31-O31)/N31)*Objetivos!$B$7</f>
        <v>0</v>
      </c>
      <c r="R31" s="160">
        <f>MAX(0,SUMIFS(Objetivos!$I$26:$I$45,Objetivos!$E$26:$E$45,B31,Objetivos!$C$26:$C$45,"Único",Objetivos!$B$26:$B$45,Objetivos!$A$20)+SUMPRODUCT(((Objetivos!$C$26:$C$45="Renta")+(Objetivos!$C$26:$C$45="Jubilación"))*(Objetivos!$B$26:$B$45=Objetivos!$A$20)*(B31&gt;=Objetivos!$E$26:$E$45)*(B31&lt;Objetivos!$E$26:$E$45+Objetivos!$H$26:$H$45)*Objetivos!$G$26:$G$45)*12*(1+Objetivos!$B$6)^B31-N31)</f>
        <v>0</v>
      </c>
      <c r="S31" s="157">
        <f>IF(B31&gt;=Objetivos!$B$11,0,IF(B31=1,Objetivos!$E$21*12+Objetivos!$C$21+Objetivos!$D$21,Objetivos!$E$21*12*(1+Objetivos!$B$9)^(B31-1)))</f>
        <v>2953.09079003652</v>
      </c>
      <c r="T31" s="158">
        <f>MAX(0,(T30-W30)*(1+Objetivos!$B$21)+S31)</f>
        <v>143412.468883514</v>
      </c>
      <c r="U31" s="157">
        <f>MAX(0,U30-IF(T30=0,0,V30*U30/T30)+S31)</f>
        <v>69607.6302918622</v>
      </c>
      <c r="V31" s="159">
        <f>MIN(T31,SUMIFS(Objetivos!$I$26:$I$45,Objetivos!$E$26:$E$45,B31,Objetivos!$C$26:$C$45,"Único",Objetivos!$B$26:$B$45,Objetivos!$A$21)+SUMPRODUCT(((Objetivos!$C$26:$C$45="Renta")+(Objetivos!$C$26:$C$45="Jubilación"))*(Objetivos!$B$26:$B$45=Objetivos!$A$21)*(B31&gt;=Objetivos!$E$26:$E$45)*(B31&lt;Objetivos!$E$26:$E$45+Objetivos!$H$26:$H$45)*Objetivos!$G$26:$G$45)*12*(1+Objetivos!$B$6)^B31)</f>
        <v>0</v>
      </c>
      <c r="W31" s="157">
        <f>V31+IF(T31=0,0,V31*MAX(0,T31-U31)/T31)*Objetivos!$B$7</f>
        <v>0</v>
      </c>
      <c r="X31" s="160">
        <f>MAX(0,SUMIFS(Objetivos!$I$26:$I$45,Objetivos!$E$26:$E$45,B31,Objetivos!$C$26:$C$45,"Único",Objetivos!$B$26:$B$45,Objetivos!$A$21)+SUMPRODUCT(((Objetivos!$C$26:$C$45="Renta")+(Objetivos!$C$26:$C$45="Jubilación"))*(Objetivos!$B$26:$B$45=Objetivos!$A$21)*(B31&gt;=Objetivos!$E$26:$E$45)*(B31&lt;Objetivos!$E$26:$E$45+Objetivos!$H$26:$H$45)*Objetivos!$G$26:$G$45)*12*(1+Objetivos!$B$6)^B31-T31)</f>
        <v>0</v>
      </c>
    </row>
    <row r="32">
      <c r="A32" s="144">
        <f>Objetivos!$B$5+B32</f>
        <v>2053</v>
      </c>
      <c r="B32" s="145" t="n">
        <v>27</v>
      </c>
      <c r="C32" s="126">
        <f>H32+N32+T32</f>
        <v>703674.072683936</v>
      </c>
      <c r="D32" s="126">
        <f>(H32-MAX(0,H32-I32)*Objetivos!$B$7)+(N32-MAX(0,N32-O32)*Objetivos!$B$7)+(T32-MAX(0,T32-U32)*Objetivos!$B$7)</f>
        <v>627046.428759357</v>
      </c>
      <c r="E32" s="146">
        <f>G32+M32+S32</f>
        <v>18876.1563299134</v>
      </c>
      <c r="F32" s="147">
        <f>J32+P32+V32</f>
        <v>0</v>
      </c>
      <c r="G32" s="148">
        <f>IF(B32&gt;=Objetivos!$B$11,0,IF(B32=1,Objetivos!$E$19*12+Objetivos!$C$19+Objetivos!$D$19,Objetivos!$E$19*12*(1+Objetivos!$B$9)^(B32-1)))</f>
        <v>7630.78660145436</v>
      </c>
      <c r="H32" s="149">
        <f>MAX(0,(H31-K31)*(1+Objetivos!$B$19)+G32)</f>
        <v>157622.471929647</v>
      </c>
      <c r="I32" s="148">
        <f>MAX(0,I31-IF(H31=0,0,J31*I31/H31)+G32)</f>
        <v>111913.976382873</v>
      </c>
      <c r="J32" s="150">
        <f>MIN(H32,SUMIFS(Objetivos!$I$26:$I$45,Objetivos!$E$26:$E$45,B32,Objetivos!$C$26:$C$45,"Único",Objetivos!$B$26:$B$45,Objetivos!$A$19)+SUMPRODUCT(((Objetivos!$C$26:$C$45="Renta")+(Objetivos!$C$26:$C$45="Jubilación"))*(Objetivos!$B$26:$B$45=Objetivos!$A$19)*(B32&gt;=Objetivos!$E$26:$E$45)*(B32&lt;Objetivos!$E$26:$E$45+Objetivos!$H$26:$H$45)*Objetivos!$G$26:$G$45)*12*(1+Objetivos!$B$6)^B32)</f>
        <v>0</v>
      </c>
      <c r="K32" s="148">
        <f>J32+IF(H32=0,0,J32*MAX(0,H32-I32)/H32)*Objetivos!$B$7</f>
        <v>0</v>
      </c>
      <c r="L32" s="151">
        <f>MAX(0,SUMIFS(Objetivos!$I$26:$I$45,Objetivos!$E$26:$E$45,B32,Objetivos!$C$26:$C$45,"Único",Objetivos!$B$26:$B$45,Objetivos!$A$19)+SUMPRODUCT(((Objetivos!$C$26:$C$45="Renta")+(Objetivos!$C$26:$C$45="Jubilación"))*(Objetivos!$B$26:$B$45=Objetivos!$A$19)*(B32&gt;=Objetivos!$E$26:$E$45)*(B32&lt;Objetivos!$E$26:$E$45+Objetivos!$H$26:$H$45)*Objetivos!$G$26:$G$45)*12*(1+Objetivos!$B$6)^B32-H32)</f>
        <v>0</v>
      </c>
      <c r="M32" s="148">
        <f>IF(B32&gt;=Objetivos!$B$11,0,IF(B32=1,Objetivos!$E$20*12+Objetivos!$C$20+Objetivos!$D$20,Objetivos!$E$20*12*(1+Objetivos!$B$9)^(B32-1)))</f>
        <v>8233.2171226218</v>
      </c>
      <c r="N32" s="149">
        <f>MAX(0,(N31-Q31)*(1+Objetivos!$B$20)+M32)</f>
        <v>392456.355820762</v>
      </c>
      <c r="O32" s="148">
        <f>MAX(0,O31-IF(N31=0,0,P31*O31/N31)+M32)</f>
        <v>170832.841018913</v>
      </c>
      <c r="P32" s="150">
        <f>MIN(N32,SUMIFS(Objetivos!$I$26:$I$45,Objetivos!$E$26:$E$45,B32,Objetivos!$C$26:$C$45,"Único",Objetivos!$B$26:$B$45,Objetivos!$A$20)+SUMPRODUCT(((Objetivos!$C$26:$C$45="Renta")+(Objetivos!$C$26:$C$45="Jubilación"))*(Objetivos!$B$26:$B$45=Objetivos!$A$20)*(B32&gt;=Objetivos!$E$26:$E$45)*(B32&lt;Objetivos!$E$26:$E$45+Objetivos!$H$26:$H$45)*Objetivos!$G$26:$G$45)*12*(1+Objetivos!$B$6)^B32)</f>
        <v>0</v>
      </c>
      <c r="Q32" s="148">
        <f>P32+IF(N32=0,0,P32*MAX(0,N32-O32)/N32)*Objetivos!$B$7</f>
        <v>0</v>
      </c>
      <c r="R32" s="151">
        <f>MAX(0,SUMIFS(Objetivos!$I$26:$I$45,Objetivos!$E$26:$E$45,B32,Objetivos!$C$26:$C$45,"Único",Objetivos!$B$26:$B$45,Objetivos!$A$20)+SUMPRODUCT(((Objetivos!$C$26:$C$45="Renta")+(Objetivos!$C$26:$C$45="Jubilación"))*(Objetivos!$B$26:$B$45=Objetivos!$A$20)*(B32&gt;=Objetivos!$E$26:$E$45)*(B32&lt;Objetivos!$E$26:$E$45+Objetivos!$H$26:$H$45)*Objetivos!$G$26:$G$45)*12*(1+Objetivos!$B$6)^B32-N32)</f>
        <v>0</v>
      </c>
      <c r="S32" s="148">
        <f>IF(B32&gt;=Objetivos!$B$11,0,IF(B32=1,Objetivos!$E$21*12+Objetivos!$C$21+Objetivos!$D$21,Objetivos!$E$21*12*(1+Objetivos!$B$9)^(B32-1)))</f>
        <v>3012.15260583725</v>
      </c>
      <c r="T32" s="149">
        <f>MAX(0,(T31-W31)*(1+Objetivos!$B$21)+S32)</f>
        <v>153595.244933527</v>
      </c>
      <c r="U32" s="148">
        <f>MAX(0,U31-IF(T31=0,0,V31*U31/T31)+S32)</f>
        <v>72619.7828976995</v>
      </c>
      <c r="V32" s="150">
        <f>MIN(T32,SUMIFS(Objetivos!$I$26:$I$45,Objetivos!$E$26:$E$45,B32,Objetivos!$C$26:$C$45,"Único",Objetivos!$B$26:$B$45,Objetivos!$A$21)+SUMPRODUCT(((Objetivos!$C$26:$C$45="Renta")+(Objetivos!$C$26:$C$45="Jubilación"))*(Objetivos!$B$26:$B$45=Objetivos!$A$21)*(B32&gt;=Objetivos!$E$26:$E$45)*(B32&lt;Objetivos!$E$26:$E$45+Objetivos!$H$26:$H$45)*Objetivos!$G$26:$G$45)*12*(1+Objetivos!$B$6)^B32)</f>
        <v>0</v>
      </c>
      <c r="W32" s="148">
        <f>V32+IF(T32=0,0,V32*MAX(0,T32-U32)/T32)*Objetivos!$B$7</f>
        <v>0</v>
      </c>
      <c r="X32" s="151">
        <f>MAX(0,SUMIFS(Objetivos!$I$26:$I$45,Objetivos!$E$26:$E$45,B32,Objetivos!$C$26:$C$45,"Único",Objetivos!$B$26:$B$45,Objetivos!$A$21)+SUMPRODUCT(((Objetivos!$C$26:$C$45="Renta")+(Objetivos!$C$26:$C$45="Jubilación"))*(Objetivos!$B$26:$B$45=Objetivos!$A$21)*(B32&gt;=Objetivos!$E$26:$E$45)*(B32&lt;Objetivos!$E$26:$E$45+Objetivos!$H$26:$H$45)*Objetivos!$G$26:$G$45)*12*(1+Objetivos!$B$6)^B32-T32)</f>
        <v>0</v>
      </c>
    </row>
    <row r="33">
      <c r="A33" s="152">
        <f>Objetivos!$B$5+B33</f>
        <v>2054</v>
      </c>
      <c r="B33" s="153" t="n">
        <v>28</v>
      </c>
      <c r="C33" s="154">
        <f>H33+N33+T33</f>
        <v>759671.682253907</v>
      </c>
      <c r="D33" s="154">
        <f>(H33-MAX(0,H33-I33)*Objetivos!$B$7)+(N33-MAX(0,N33-O33)*Objetivos!$B$7)+(T33-MAX(0,T33-U33)*Objetivos!$B$7)</f>
        <v>674960.373704367</v>
      </c>
      <c r="E33" s="155">
        <f>G33+M33+S33</f>
        <v>19253.6794565117</v>
      </c>
      <c r="F33" s="156">
        <f>J33+P33+V33</f>
        <v>0</v>
      </c>
      <c r="G33" s="157">
        <f>IF(B33&gt;=Objetivos!$B$11,0,IF(B33=1,Objetivos!$E$19*12+Objetivos!$C$19+Objetivos!$D$19,Objetivos!$E$19*12*(1+Objetivos!$B$9)^(B33-1)))</f>
        <v>7783.40233348344</v>
      </c>
      <c r="H33" s="158">
        <f>MAX(0,(H32-K32)*(1+Objetivos!$B$19)+G33)</f>
        <v>170922.660780668</v>
      </c>
      <c r="I33" s="157">
        <f>MAX(0,I32-IF(H32=0,0,J32*I32/H32)+G33)</f>
        <v>119697.378716356</v>
      </c>
      <c r="J33" s="159">
        <f>MIN(H33,SUMIFS(Objetivos!$I$26:$I$45,Objetivos!$E$26:$E$45,B33,Objetivos!$C$26:$C$45,"Único",Objetivos!$B$26:$B$45,Objetivos!$A$19)+SUMPRODUCT(((Objetivos!$C$26:$C$45="Renta")+(Objetivos!$C$26:$C$45="Jubilación"))*(Objetivos!$B$26:$B$45=Objetivos!$A$19)*(B33&gt;=Objetivos!$E$26:$E$45)*(B33&lt;Objetivos!$E$26:$E$45+Objetivos!$H$26:$H$45)*Objetivos!$G$26:$G$45)*12*(1+Objetivos!$B$6)^B33)</f>
        <v>0</v>
      </c>
      <c r="K33" s="157">
        <f>J33+IF(H33=0,0,J33*MAX(0,H33-I33)/H33)*Objetivos!$B$7</f>
        <v>0</v>
      </c>
      <c r="L33" s="160">
        <f>MAX(0,SUMIFS(Objetivos!$I$26:$I$45,Objetivos!$E$26:$E$45,B33,Objetivos!$C$26:$C$45,"Único",Objetivos!$B$26:$B$45,Objetivos!$A$19)+SUMPRODUCT(((Objetivos!$C$26:$C$45="Renta")+(Objetivos!$C$26:$C$45="Jubilación"))*(Objetivos!$B$26:$B$45=Objetivos!$A$19)*(B33&gt;=Objetivos!$E$26:$E$45)*(B33&lt;Objetivos!$E$26:$E$45+Objetivos!$H$26:$H$45)*Objetivos!$G$26:$G$45)*12*(1+Objetivos!$B$6)^B33-H33)</f>
        <v>0</v>
      </c>
      <c r="M33" s="157">
        <f>IF(B33&gt;=Objetivos!$B$11,0,IF(B33=1,Objetivos!$E$20*12+Objetivos!$C$20+Objetivos!$D$20,Objetivos!$E$20*12*(1+Objetivos!$B$9)^(B33-1)))</f>
        <v>8397.88146507424</v>
      </c>
      <c r="N33" s="158">
        <f>MAX(0,(N32-Q32)*(1+Objetivos!$B$20)+M33)</f>
        <v>424401.618635082</v>
      </c>
      <c r="O33" s="157">
        <f>MAX(0,O32-IF(N32=0,0,P32*O32/N32)+M33)</f>
        <v>179230.722483987</v>
      </c>
      <c r="P33" s="159">
        <f>MIN(N33,SUMIFS(Objetivos!$I$26:$I$45,Objetivos!$E$26:$E$45,B33,Objetivos!$C$26:$C$45,"Único",Objetivos!$B$26:$B$45,Objetivos!$A$20)+SUMPRODUCT(((Objetivos!$C$26:$C$45="Renta")+(Objetivos!$C$26:$C$45="Jubilación"))*(Objetivos!$B$26:$B$45=Objetivos!$A$20)*(B33&gt;=Objetivos!$E$26:$E$45)*(B33&lt;Objetivos!$E$26:$E$45+Objetivos!$H$26:$H$45)*Objetivos!$G$26:$G$45)*12*(1+Objetivos!$B$6)^B33)</f>
        <v>0</v>
      </c>
      <c r="Q33" s="157">
        <f>P33+IF(N33=0,0,P33*MAX(0,N33-O33)/N33)*Objetivos!$B$7</f>
        <v>0</v>
      </c>
      <c r="R33" s="160">
        <f>MAX(0,SUMIFS(Objetivos!$I$26:$I$45,Objetivos!$E$26:$E$45,B33,Objetivos!$C$26:$C$45,"Único",Objetivos!$B$26:$B$45,Objetivos!$A$20)+SUMPRODUCT(((Objetivos!$C$26:$C$45="Renta")+(Objetivos!$C$26:$C$45="Jubilación"))*(Objetivos!$B$26:$B$45=Objetivos!$A$20)*(B33&gt;=Objetivos!$E$26:$E$45)*(B33&lt;Objetivos!$E$26:$E$45+Objetivos!$H$26:$H$45)*Objetivos!$G$26:$G$45)*12*(1+Objetivos!$B$6)^B33-N33)</f>
        <v>0</v>
      </c>
      <c r="S33" s="157">
        <f>IF(B33&gt;=Objetivos!$B$11,0,IF(B33=1,Objetivos!$E$21*12+Objetivos!$C$21+Objetivos!$D$21,Objetivos!$E$21*12*(1+Objetivos!$B$9)^(B33-1)))</f>
        <v>3072.39565795399</v>
      </c>
      <c r="T33" s="158">
        <f>MAX(0,(T32-W32)*(1+Objetivos!$B$21)+S33)</f>
        <v>164347.402838158</v>
      </c>
      <c r="U33" s="157">
        <f>MAX(0,U32-IF(T32=0,0,V32*U32/T32)+S33)</f>
        <v>75692.1785556535</v>
      </c>
      <c r="V33" s="159">
        <f>MIN(T33,SUMIFS(Objetivos!$I$26:$I$45,Objetivos!$E$26:$E$45,B33,Objetivos!$C$26:$C$45,"Único",Objetivos!$B$26:$B$45,Objetivos!$A$21)+SUMPRODUCT(((Objetivos!$C$26:$C$45="Renta")+(Objetivos!$C$26:$C$45="Jubilación"))*(Objetivos!$B$26:$B$45=Objetivos!$A$21)*(B33&gt;=Objetivos!$E$26:$E$45)*(B33&lt;Objetivos!$E$26:$E$45+Objetivos!$H$26:$H$45)*Objetivos!$G$26:$G$45)*12*(1+Objetivos!$B$6)^B33)</f>
        <v>0</v>
      </c>
      <c r="W33" s="157">
        <f>V33+IF(T33=0,0,V33*MAX(0,T33-U33)/T33)*Objetivos!$B$7</f>
        <v>0</v>
      </c>
      <c r="X33" s="160">
        <f>MAX(0,SUMIFS(Objetivos!$I$26:$I$45,Objetivos!$E$26:$E$45,B33,Objetivos!$C$26:$C$45,"Único",Objetivos!$B$26:$B$45,Objetivos!$A$21)+SUMPRODUCT(((Objetivos!$C$26:$C$45="Renta")+(Objetivos!$C$26:$C$45="Jubilación"))*(Objetivos!$B$26:$B$45=Objetivos!$A$21)*(B33&gt;=Objetivos!$E$26:$E$45)*(B33&lt;Objetivos!$E$26:$E$45+Objetivos!$H$26:$H$45)*Objetivos!$G$26:$G$45)*12*(1+Objetivos!$B$6)^B33-T33)</f>
        <v>0</v>
      </c>
    </row>
    <row r="34">
      <c r="A34" s="144">
        <f>Objetivos!$B$5+B34</f>
        <v>2055</v>
      </c>
      <c r="B34" s="145" t="n">
        <v>29</v>
      </c>
      <c r="C34" s="126">
        <f>H34+N34+T34</f>
        <v>818974.195686886</v>
      </c>
      <c r="D34" s="126">
        <f>(H34-MAX(0,H34-I34)*Objetivos!$B$7)+(N34-MAX(0,N34-O34)*Objetivos!$B$7)+(T34-MAX(0,T34-U34)*Objetivos!$B$7)</f>
        <v>725536.859852131</v>
      </c>
      <c r="E34" s="146">
        <f>G34+M34+S34</f>
        <v>19638.7530456419</v>
      </c>
      <c r="F34" s="147">
        <f>J34+P34+V34</f>
        <v>0</v>
      </c>
      <c r="G34" s="148">
        <f>IF(B34&gt;=Objetivos!$B$11,0,IF(B34=1,Objetivos!$E$19*12+Objetivos!$C$19+Objetivos!$D$19,Objetivos!$E$19*12*(1+Objetivos!$B$9)^(B34-1)))</f>
        <v>7939.07038015311</v>
      </c>
      <c r="H34" s="149">
        <f>MAX(0,(H33-K33)*(1+Objetivos!$B$19)+G34)</f>
        <v>184844.024288145</v>
      </c>
      <c r="I34" s="148">
        <f>MAX(0,I33-IF(H33=0,0,J33*I33/H33)+G34)</f>
        <v>127636.449096509</v>
      </c>
      <c r="J34" s="150">
        <f>MIN(H34,SUMIFS(Objetivos!$I$26:$I$45,Objetivos!$E$26:$E$45,B34,Objetivos!$C$26:$C$45,"Único",Objetivos!$B$26:$B$45,Objetivos!$A$19)+SUMPRODUCT(((Objetivos!$C$26:$C$45="Renta")+(Objetivos!$C$26:$C$45="Jubilación"))*(Objetivos!$B$26:$B$45=Objetivos!$A$19)*(B34&gt;=Objetivos!$E$26:$E$45)*(B34&lt;Objetivos!$E$26:$E$45+Objetivos!$H$26:$H$45)*Objetivos!$G$26:$G$45)*12*(1+Objetivos!$B$6)^B34)</f>
        <v>0</v>
      </c>
      <c r="K34" s="148">
        <f>J34+IF(H34=0,0,J34*MAX(0,H34-I34)/H34)*Objetivos!$B$7</f>
        <v>0</v>
      </c>
      <c r="L34" s="151">
        <f>MAX(0,SUMIFS(Objetivos!$I$26:$I$45,Objetivos!$E$26:$E$45,B34,Objetivos!$C$26:$C$45,"Único",Objetivos!$B$26:$B$45,Objetivos!$A$19)+SUMPRODUCT(((Objetivos!$C$26:$C$45="Renta")+(Objetivos!$C$26:$C$45="Jubilación"))*(Objetivos!$B$26:$B$45=Objetivos!$A$19)*(B34&gt;=Objetivos!$E$26:$E$45)*(B34&lt;Objetivos!$E$26:$E$45+Objetivos!$H$26:$H$45)*Objetivos!$G$26:$G$45)*12*(1+Objetivos!$B$6)^B34-H34)</f>
        <v>0</v>
      </c>
      <c r="M34" s="148">
        <f>IF(B34&gt;=Objetivos!$B$11,0,IF(B34=1,Objetivos!$E$20*12+Objetivos!$C$20+Objetivos!$D$20,Objetivos!$E$20*12*(1+Objetivos!$B$9)^(B34-1)))</f>
        <v>8565.83909437573</v>
      </c>
      <c r="N34" s="149">
        <f>MAX(0,(N33-Q33)*(1+Objetivos!$B$20)+M34)</f>
        <v>458431.554847562</v>
      </c>
      <c r="O34" s="148">
        <f>MAX(0,O33-IF(N33=0,0,P33*O33/N33)+M34)</f>
        <v>187796.561578363</v>
      </c>
      <c r="P34" s="150">
        <f>MIN(N34,SUMIFS(Objetivos!$I$26:$I$45,Objetivos!$E$26:$E$45,B34,Objetivos!$C$26:$C$45,"Único",Objetivos!$B$26:$B$45,Objetivos!$A$20)+SUMPRODUCT(((Objetivos!$C$26:$C$45="Renta")+(Objetivos!$C$26:$C$45="Jubilación"))*(Objetivos!$B$26:$B$45=Objetivos!$A$20)*(B34&gt;=Objetivos!$E$26:$E$45)*(B34&lt;Objetivos!$E$26:$E$45+Objetivos!$H$26:$H$45)*Objetivos!$G$26:$G$45)*12*(1+Objetivos!$B$6)^B34)</f>
        <v>0</v>
      </c>
      <c r="Q34" s="148">
        <f>P34+IF(N34=0,0,P34*MAX(0,N34-O34)/N34)*Objetivos!$B$7</f>
        <v>0</v>
      </c>
      <c r="R34" s="151">
        <f>MAX(0,SUMIFS(Objetivos!$I$26:$I$45,Objetivos!$E$26:$E$45,B34,Objetivos!$C$26:$C$45,"Único",Objetivos!$B$26:$B$45,Objetivos!$A$20)+SUMPRODUCT(((Objetivos!$C$26:$C$45="Renta")+(Objetivos!$C$26:$C$45="Jubilación"))*(Objetivos!$B$26:$B$45=Objetivos!$A$20)*(B34&gt;=Objetivos!$E$26:$E$45)*(B34&lt;Objetivos!$E$26:$E$45+Objetivos!$H$26:$H$45)*Objetivos!$G$26:$G$45)*12*(1+Objetivos!$B$6)^B34-N34)</f>
        <v>0</v>
      </c>
      <c r="S34" s="148">
        <f>IF(B34&gt;=Objetivos!$B$11,0,IF(B34=1,Objetivos!$E$21*12+Objetivos!$C$21+Objetivos!$D$21,Objetivos!$E$21*12*(1+Objetivos!$B$9)^(B34-1)))</f>
        <v>3133.84357111307</v>
      </c>
      <c r="T34" s="149">
        <f>MAX(0,(T33-W33)*(1+Objetivos!$B$21)+S34)</f>
        <v>175698.616551179</v>
      </c>
      <c r="U34" s="148">
        <f>MAX(0,U33-IF(T33=0,0,V33*U33/T33)+S34)</f>
        <v>78826.0221267665</v>
      </c>
      <c r="V34" s="150">
        <f>MIN(T34,SUMIFS(Objetivos!$I$26:$I$45,Objetivos!$E$26:$E$45,B34,Objetivos!$C$26:$C$45,"Único",Objetivos!$B$26:$B$45,Objetivos!$A$21)+SUMPRODUCT(((Objetivos!$C$26:$C$45="Renta")+(Objetivos!$C$26:$C$45="Jubilación"))*(Objetivos!$B$26:$B$45=Objetivos!$A$21)*(B34&gt;=Objetivos!$E$26:$E$45)*(B34&lt;Objetivos!$E$26:$E$45+Objetivos!$H$26:$H$45)*Objetivos!$G$26:$G$45)*12*(1+Objetivos!$B$6)^B34)</f>
        <v>0</v>
      </c>
      <c r="W34" s="148">
        <f>V34+IF(T34=0,0,V34*MAX(0,T34-U34)/T34)*Objetivos!$B$7</f>
        <v>0</v>
      </c>
      <c r="X34" s="151">
        <f>MAX(0,SUMIFS(Objetivos!$I$26:$I$45,Objetivos!$E$26:$E$45,B34,Objetivos!$C$26:$C$45,"Único",Objetivos!$B$26:$B$45,Objetivos!$A$21)+SUMPRODUCT(((Objetivos!$C$26:$C$45="Renta")+(Objetivos!$C$26:$C$45="Jubilación"))*(Objetivos!$B$26:$B$45=Objetivos!$A$21)*(B34&gt;=Objetivos!$E$26:$E$45)*(B34&lt;Objetivos!$E$26:$E$45+Objetivos!$H$26:$H$45)*Objetivos!$G$26:$G$45)*12*(1+Objetivos!$B$6)^B34-T34)</f>
        <v>0</v>
      </c>
    </row>
    <row r="35">
      <c r="A35" s="152">
        <f>Objetivos!$B$5+B35</f>
        <v>2056</v>
      </c>
      <c r="B35" s="153" t="n">
        <v>30</v>
      </c>
      <c r="C35" s="154">
        <f>H35+N35+T35</f>
        <v>881766.088761938</v>
      </c>
      <c r="D35" s="154">
        <f>(H35-MAX(0,H35-I35)*Objetivos!$B$7)+(N35-MAX(0,N35-O35)*Objetivos!$B$7)+(T35-MAX(0,T35-U35)*Objetivos!$B$7)</f>
        <v>778921.472634114</v>
      </c>
      <c r="E35" s="155">
        <f>G35+M35+S35</f>
        <v>20031.5281065547</v>
      </c>
      <c r="F35" s="156">
        <f>J35+P35+V35</f>
        <v>0</v>
      </c>
      <c r="G35" s="157">
        <f>IF(B35&gt;=Objetivos!$B$11,0,IF(B35=1,Objetivos!$E$19*12+Objetivos!$C$19+Objetivos!$D$19,Objetivos!$E$19*12*(1+Objetivos!$B$9)^(B35-1)))</f>
        <v>8097.85178775617</v>
      </c>
      <c r="H35" s="158">
        <f>MAX(0,(H34-K34)*(1+Objetivos!$B$19)+G35)</f>
        <v>199411.416925986</v>
      </c>
      <c r="I35" s="157">
        <f>MAX(0,I34-IF(H34=0,0,J34*I34/H34)+G35)</f>
        <v>135734.300884265</v>
      </c>
      <c r="J35" s="159">
        <f>MIN(H35,SUMIFS(Objetivos!$I$26:$I$45,Objetivos!$E$26:$E$45,B35,Objetivos!$C$26:$C$45,"Único",Objetivos!$B$26:$B$45,Objetivos!$A$19)+SUMPRODUCT(((Objetivos!$C$26:$C$45="Renta")+(Objetivos!$C$26:$C$45="Jubilación"))*(Objetivos!$B$26:$B$45=Objetivos!$A$19)*(B35&gt;=Objetivos!$E$26:$E$45)*(B35&lt;Objetivos!$E$26:$E$45+Objetivos!$H$26:$H$45)*Objetivos!$G$26:$G$45)*12*(1+Objetivos!$B$6)^B35)</f>
        <v>0</v>
      </c>
      <c r="K35" s="157">
        <f>J35+IF(H35=0,0,J35*MAX(0,H35-I35)/H35)*Objetivos!$B$7</f>
        <v>0</v>
      </c>
      <c r="L35" s="160">
        <f>MAX(0,SUMIFS(Objetivos!$I$26:$I$45,Objetivos!$E$26:$E$45,B35,Objetivos!$C$26:$C$45,"Único",Objetivos!$B$26:$B$45,Objetivos!$A$19)+SUMPRODUCT(((Objetivos!$C$26:$C$45="Renta")+(Objetivos!$C$26:$C$45="Jubilación"))*(Objetivos!$B$26:$B$45=Objetivos!$A$19)*(B35&gt;=Objetivos!$E$26:$E$45)*(B35&lt;Objetivos!$E$26:$E$45+Objetivos!$H$26:$H$45)*Objetivos!$G$26:$G$45)*12*(1+Objetivos!$B$6)^B35-H35)</f>
        <v>0</v>
      </c>
      <c r="M35" s="157">
        <f>IF(B35&gt;=Objetivos!$B$11,0,IF(B35=1,Objetivos!$E$20*12+Objetivos!$C$20+Objetivos!$D$20,Objetivos!$E$20*12*(1+Objetivos!$B$9)^(B35-1)))</f>
        <v>8737.15587626324</v>
      </c>
      <c r="N35" s="158">
        <f>MAX(0,(N34-Q34)*(1+Objetivos!$B$20)+M35)</f>
        <v>494674.604014679</v>
      </c>
      <c r="O35" s="157">
        <f>MAX(0,O34-IF(N34=0,0,P34*O34/N34)+M35)</f>
        <v>196533.717454626</v>
      </c>
      <c r="P35" s="159">
        <f>MIN(N35,SUMIFS(Objetivos!$I$26:$I$45,Objetivos!$E$26:$E$45,B35,Objetivos!$C$26:$C$45,"Único",Objetivos!$B$26:$B$45,Objetivos!$A$20)+SUMPRODUCT(((Objetivos!$C$26:$C$45="Renta")+(Objetivos!$C$26:$C$45="Jubilación"))*(Objetivos!$B$26:$B$45=Objetivos!$A$20)*(B35&gt;=Objetivos!$E$26:$E$45)*(B35&lt;Objetivos!$E$26:$E$45+Objetivos!$H$26:$H$45)*Objetivos!$G$26:$G$45)*12*(1+Objetivos!$B$6)^B35)</f>
        <v>0</v>
      </c>
      <c r="Q35" s="157">
        <f>P35+IF(N35=0,0,P35*MAX(0,N35-O35)/N35)*Objetivos!$B$7</f>
        <v>0</v>
      </c>
      <c r="R35" s="160">
        <f>MAX(0,SUMIFS(Objetivos!$I$26:$I$45,Objetivos!$E$26:$E$45,B35,Objetivos!$C$26:$C$45,"Único",Objetivos!$B$26:$B$45,Objetivos!$A$20)+SUMPRODUCT(((Objetivos!$C$26:$C$45="Renta")+(Objetivos!$C$26:$C$45="Jubilación"))*(Objetivos!$B$26:$B$45=Objetivos!$A$20)*(B35&gt;=Objetivos!$E$26:$E$45)*(B35&lt;Objetivos!$E$26:$E$45+Objetivos!$H$26:$H$45)*Objetivos!$G$26:$G$45)*12*(1+Objetivos!$B$6)^B35-N35)</f>
        <v>0</v>
      </c>
      <c r="S35" s="157">
        <f>IF(B35&gt;=Objetivos!$B$11,0,IF(B35=1,Objetivos!$E$21*12+Objetivos!$C$21+Objetivos!$D$21,Objetivos!$E$21*12*(1+Objetivos!$B$9)^(B35-1)))</f>
        <v>3196.52044253533</v>
      </c>
      <c r="T35" s="158">
        <f>MAX(0,(T34-W34)*(1+Objetivos!$B$21)+S35)</f>
        <v>187680.067821273</v>
      </c>
      <c r="U35" s="157">
        <f>MAX(0,U34-IF(T34=0,0,V34*U34/T34)+S35)</f>
        <v>82022.5425693019</v>
      </c>
      <c r="V35" s="159">
        <f>MIN(T35,SUMIFS(Objetivos!$I$26:$I$45,Objetivos!$E$26:$E$45,B35,Objetivos!$C$26:$C$45,"Único",Objetivos!$B$26:$B$45,Objetivos!$A$21)+SUMPRODUCT(((Objetivos!$C$26:$C$45="Renta")+(Objetivos!$C$26:$C$45="Jubilación"))*(Objetivos!$B$26:$B$45=Objetivos!$A$21)*(B35&gt;=Objetivos!$E$26:$E$45)*(B35&lt;Objetivos!$E$26:$E$45+Objetivos!$H$26:$H$45)*Objetivos!$G$26:$G$45)*12*(1+Objetivos!$B$6)^B35)</f>
        <v>0</v>
      </c>
      <c r="W35" s="157">
        <f>V35+IF(T35=0,0,V35*MAX(0,T35-U35)/T35)*Objetivos!$B$7</f>
        <v>0</v>
      </c>
      <c r="X35" s="160">
        <f>MAX(0,SUMIFS(Objetivos!$I$26:$I$45,Objetivos!$E$26:$E$45,B35,Objetivos!$C$26:$C$45,"Único",Objetivos!$B$26:$B$45,Objetivos!$A$21)+SUMPRODUCT(((Objetivos!$C$26:$C$45="Renta")+(Objetivos!$C$26:$C$45="Jubilación"))*(Objetivos!$B$26:$B$45=Objetivos!$A$21)*(B35&gt;=Objetivos!$E$26:$E$45)*(B35&lt;Objetivos!$E$26:$E$45+Objetivos!$H$26:$H$45)*Objetivos!$G$26:$G$45)*12*(1+Objetivos!$B$6)^B35-T35)</f>
        <v>0</v>
      </c>
    </row>
    <row r="36">
      <c r="A36" s="144">
        <f>Objetivos!$B$5+B36</f>
        <v>2057</v>
      </c>
      <c r="B36" s="145" t="n">
        <v>31</v>
      </c>
      <c r="C36" s="126">
        <f>H36+N36+T36</f>
        <v>948242.126654978</v>
      </c>
      <c r="D36" s="126">
        <f>(H36-MAX(0,H36-I36)*Objetivos!$B$7)+(N36-MAX(0,N36-O36)*Objetivos!$B$7)+(T36-MAX(0,T36-U36)*Objetivos!$B$7)</f>
        <v>835267.857097796</v>
      </c>
      <c r="E36" s="146">
        <f>G36+M36+S36</f>
        <v>20432.1586686858</v>
      </c>
      <c r="F36" s="147">
        <f>J36+P36+V36</f>
        <v>0</v>
      </c>
      <c r="G36" s="148">
        <f>IF(B36&gt;=Objetivos!$B$11,0,IF(B36=1,Objetivos!$E$19*12+Objetivos!$C$19+Objetivos!$D$19,Objetivos!$E$19*12*(1+Objetivos!$B$9)^(B36-1)))</f>
        <v>8259.8088235113</v>
      </c>
      <c r="H36" s="149">
        <f>MAX(0,(H35-K35)*(1+Objetivos!$B$19)+G36)</f>
        <v>214650.625341907</v>
      </c>
      <c r="I36" s="148">
        <f>MAX(0,I35-IF(H35=0,0,J35*I35/H35)+G36)</f>
        <v>143994.109707777</v>
      </c>
      <c r="J36" s="150">
        <f>MIN(H36,SUMIFS(Objetivos!$I$26:$I$45,Objetivos!$E$26:$E$45,B36,Objetivos!$C$26:$C$45,"Único",Objetivos!$B$26:$B$45,Objetivos!$A$19)+SUMPRODUCT(((Objetivos!$C$26:$C$45="Renta")+(Objetivos!$C$26:$C$45="Jubilación"))*(Objetivos!$B$26:$B$45=Objetivos!$A$19)*(B36&gt;=Objetivos!$E$26:$E$45)*(B36&lt;Objetivos!$E$26:$E$45+Objetivos!$H$26:$H$45)*Objetivos!$G$26:$G$45)*12*(1+Objetivos!$B$6)^B36)</f>
        <v>0</v>
      </c>
      <c r="K36" s="148">
        <f>J36+IF(H36=0,0,J36*MAX(0,H36-I36)/H36)*Objetivos!$B$7</f>
        <v>0</v>
      </c>
      <c r="L36" s="151">
        <f>MAX(0,SUMIFS(Objetivos!$I$26:$I$45,Objetivos!$E$26:$E$45,B36,Objetivos!$C$26:$C$45,"Único",Objetivos!$B$26:$B$45,Objetivos!$A$19)+SUMPRODUCT(((Objetivos!$C$26:$C$45="Renta")+(Objetivos!$C$26:$C$45="Jubilación"))*(Objetivos!$B$26:$B$45=Objetivos!$A$19)*(B36&gt;=Objetivos!$E$26:$E$45)*(B36&lt;Objetivos!$E$26:$E$45+Objetivos!$H$26:$H$45)*Objetivos!$G$26:$G$45)*12*(1+Objetivos!$B$6)^B36-H36)</f>
        <v>0</v>
      </c>
      <c r="M36" s="148">
        <f>IF(B36&gt;=Objetivos!$B$11,0,IF(B36=1,Objetivos!$E$20*12+Objetivos!$C$20+Objetivos!$D$20,Objetivos!$E$20*12*(1+Objetivos!$B$9)^(B36-1)))</f>
        <v>8911.89899378851</v>
      </c>
      <c r="N36" s="149">
        <f>MAX(0,(N35-Q35)*(1+Objetivos!$B$20)+M36)</f>
        <v>533266.979249348</v>
      </c>
      <c r="O36" s="148">
        <f>MAX(0,O35-IF(N35=0,0,P35*O35/N35)+M36)</f>
        <v>205445.616448415</v>
      </c>
      <c r="P36" s="150">
        <f>MIN(N36,SUMIFS(Objetivos!$I$26:$I$45,Objetivos!$E$26:$E$45,B36,Objetivos!$C$26:$C$45,"Único",Objetivos!$B$26:$B$45,Objetivos!$A$20)+SUMPRODUCT(((Objetivos!$C$26:$C$45="Renta")+(Objetivos!$C$26:$C$45="Jubilación"))*(Objetivos!$B$26:$B$45=Objetivos!$A$20)*(B36&gt;=Objetivos!$E$26:$E$45)*(B36&lt;Objetivos!$E$26:$E$45+Objetivos!$H$26:$H$45)*Objetivos!$G$26:$G$45)*12*(1+Objetivos!$B$6)^B36)</f>
        <v>0</v>
      </c>
      <c r="Q36" s="148">
        <f>P36+IF(N36=0,0,P36*MAX(0,N36-O36)/N36)*Objetivos!$B$7</f>
        <v>0</v>
      </c>
      <c r="R36" s="151">
        <f>MAX(0,SUMIFS(Objetivos!$I$26:$I$45,Objetivos!$E$26:$E$45,B36,Objetivos!$C$26:$C$45,"Único",Objetivos!$B$26:$B$45,Objetivos!$A$20)+SUMPRODUCT(((Objetivos!$C$26:$C$45="Renta")+(Objetivos!$C$26:$C$45="Jubilación"))*(Objetivos!$B$26:$B$45=Objetivos!$A$20)*(B36&gt;=Objetivos!$E$26:$E$45)*(B36&lt;Objetivos!$E$26:$E$45+Objetivos!$H$26:$H$45)*Objetivos!$G$26:$G$45)*12*(1+Objetivos!$B$6)^B36-N36)</f>
        <v>0</v>
      </c>
      <c r="S36" s="148">
        <f>IF(B36&gt;=Objetivos!$B$11,0,IF(B36=1,Objetivos!$E$21*12+Objetivos!$C$21+Objetivos!$D$21,Objetivos!$E$21*12*(1+Objetivos!$B$9)^(B36-1)))</f>
        <v>3260.45085138604</v>
      </c>
      <c r="T36" s="149">
        <f>MAX(0,(T35-W35)*(1+Objetivos!$B$21)+S36)</f>
        <v>200324.522063723</v>
      </c>
      <c r="U36" s="148">
        <f>MAX(0,U35-IF(T35=0,0,V35*U35/T35)+S36)</f>
        <v>85282.9934206879</v>
      </c>
      <c r="V36" s="150">
        <f>MIN(T36,SUMIFS(Objetivos!$I$26:$I$45,Objetivos!$E$26:$E$45,B36,Objetivos!$C$26:$C$45,"Único",Objetivos!$B$26:$B$45,Objetivos!$A$21)+SUMPRODUCT(((Objetivos!$C$26:$C$45="Renta")+(Objetivos!$C$26:$C$45="Jubilación"))*(Objetivos!$B$26:$B$45=Objetivos!$A$21)*(B36&gt;=Objetivos!$E$26:$E$45)*(B36&lt;Objetivos!$E$26:$E$45+Objetivos!$H$26:$H$45)*Objetivos!$G$26:$G$45)*12*(1+Objetivos!$B$6)^B36)</f>
        <v>0</v>
      </c>
      <c r="W36" s="148">
        <f>V36+IF(T36=0,0,V36*MAX(0,T36-U36)/T36)*Objetivos!$B$7</f>
        <v>0</v>
      </c>
      <c r="X36" s="151">
        <f>MAX(0,SUMIFS(Objetivos!$I$26:$I$45,Objetivos!$E$26:$E$45,B36,Objetivos!$C$26:$C$45,"Único",Objetivos!$B$26:$B$45,Objetivos!$A$21)+SUMPRODUCT(((Objetivos!$C$26:$C$45="Renta")+(Objetivos!$C$26:$C$45="Jubilación"))*(Objetivos!$B$26:$B$45=Objetivos!$A$21)*(B36&gt;=Objetivos!$E$26:$E$45)*(B36&lt;Objetivos!$E$26:$E$45+Objetivos!$H$26:$H$45)*Objetivos!$G$26:$G$45)*12*(1+Objetivos!$B$6)^B36-T36)</f>
        <v>0</v>
      </c>
    </row>
    <row r="37">
      <c r="A37" s="152">
        <f>Objetivos!$B$5+B37</f>
        <v>2058</v>
      </c>
      <c r="B37" s="153" t="n">
        <v>32</v>
      </c>
      <c r="C37" s="154">
        <f>H37+N37+T37</f>
        <v>997767.143400091</v>
      </c>
      <c r="D37" s="154">
        <f>(H37-MAX(0,H37-I37)*Objetivos!$B$7)+(N37-MAX(0,N37-O37)*Objetivos!$B$7)+(T37-MAX(0,T37-U37)*Objetivos!$B$7)</f>
        <v>873897.370158985</v>
      </c>
      <c r="E37" s="155">
        <f>G37+M37+S37</f>
        <v>0</v>
      </c>
      <c r="F37" s="156">
        <f>J37+P37+V37</f>
        <v>25122.8290906099</v>
      </c>
      <c r="G37" s="157">
        <f>IF(B37&gt;=Objetivos!$B$11,0,IF(B37=1,Objetivos!$E$19*12+Objetivos!$C$19+Objetivos!$D$19,Objetivos!$E$19*12*(1+Objetivos!$B$9)^(B37-1)))</f>
        <v>0</v>
      </c>
      <c r="H37" s="158">
        <f>MAX(0,(H36-K36)*(1+Objetivos!$B$19)+G37)</f>
        <v>222163.397228873</v>
      </c>
      <c r="I37" s="157">
        <f>MAX(0,I36-IF(H36=0,0,J36*I36/H36)+G37)</f>
        <v>143994.109707777</v>
      </c>
      <c r="J37" s="159">
        <f>MIN(H37,SUMIFS(Objetivos!$I$26:$I$45,Objetivos!$E$26:$E$45,B37,Objetivos!$C$26:$C$45,"Único",Objetivos!$B$26:$B$45,Objetivos!$A$19)+SUMPRODUCT(((Objetivos!$C$26:$C$45="Renta")+(Objetivos!$C$26:$C$45="Jubilación"))*(Objetivos!$B$26:$B$45=Objetivos!$A$19)*(B37&gt;=Objetivos!$E$26:$E$45)*(B37&lt;Objetivos!$E$26:$E$45+Objetivos!$H$26:$H$45)*Objetivos!$G$26:$G$45)*12*(1+Objetivos!$B$6)^B37)</f>
        <v>0</v>
      </c>
      <c r="K37" s="157">
        <f>J37+IF(H37=0,0,J37*MAX(0,H37-I37)/H37)*Objetivos!$B$7</f>
        <v>0</v>
      </c>
      <c r="L37" s="160">
        <f>MAX(0,SUMIFS(Objetivos!$I$26:$I$45,Objetivos!$E$26:$E$45,B37,Objetivos!$C$26:$C$45,"Único",Objetivos!$B$26:$B$45,Objetivos!$A$19)+SUMPRODUCT(((Objetivos!$C$26:$C$45="Renta")+(Objetivos!$C$26:$C$45="Jubilación"))*(Objetivos!$B$26:$B$45=Objetivos!$A$19)*(B37&gt;=Objetivos!$E$26:$E$45)*(B37&lt;Objetivos!$E$26:$E$45+Objetivos!$H$26:$H$45)*Objetivos!$G$26:$G$45)*12*(1+Objetivos!$B$6)^B37-H37)</f>
        <v>0</v>
      </c>
      <c r="M37" s="157">
        <f>IF(B37&gt;=Objetivos!$B$11,0,IF(B37=1,Objetivos!$E$20*12+Objetivos!$C$20+Objetivos!$D$20,Objetivos!$E$20*12*(1+Objetivos!$B$9)^(B37-1)))</f>
        <v>0</v>
      </c>
      <c r="N37" s="158">
        <f>MAX(0,(N36-Q36)*(1+Objetivos!$B$20)+M37)</f>
        <v>565262.998004309</v>
      </c>
      <c r="O37" s="157">
        <f>MAX(0,O36-IF(N36=0,0,P36*O36/N36)+M37)</f>
        <v>205445.616448415</v>
      </c>
      <c r="P37" s="159">
        <f>MIN(N37,SUMIFS(Objetivos!$I$26:$I$45,Objetivos!$E$26:$E$45,B37,Objetivos!$C$26:$C$45,"Único",Objetivos!$B$26:$B$45,Objetivos!$A$20)+SUMPRODUCT(((Objetivos!$C$26:$C$45="Renta")+(Objetivos!$C$26:$C$45="Jubilación"))*(Objetivos!$B$26:$B$45=Objetivos!$A$20)*(B37&gt;=Objetivos!$E$26:$E$45)*(B37&lt;Objetivos!$E$26:$E$45+Objetivos!$H$26:$H$45)*Objetivos!$G$26:$G$45)*12*(1+Objetivos!$B$6)^B37)</f>
        <v>18511.5582772915</v>
      </c>
      <c r="Q37" s="157">
        <f>P37+IF(N37=0,0,P37*MAX(0,N37-O37)/N37)*Objetivos!$B$7</f>
        <v>21103.9297916159</v>
      </c>
      <c r="R37" s="160">
        <f>MAX(0,SUMIFS(Objetivos!$I$26:$I$45,Objetivos!$E$26:$E$45,B37,Objetivos!$C$26:$C$45,"Único",Objetivos!$B$26:$B$45,Objetivos!$A$20)+SUMPRODUCT(((Objetivos!$C$26:$C$45="Renta")+(Objetivos!$C$26:$C$45="Jubilación"))*(Objetivos!$B$26:$B$45=Objetivos!$A$20)*(B37&gt;=Objetivos!$E$26:$E$45)*(B37&lt;Objetivos!$E$26:$E$45+Objetivos!$H$26:$H$45)*Objetivos!$G$26:$G$45)*12*(1+Objetivos!$B$6)^B37-N37)</f>
        <v>0</v>
      </c>
      <c r="S37" s="157">
        <f>IF(B37&gt;=Objetivos!$B$11,0,IF(B37=1,Objetivos!$E$21*12+Objetivos!$C$21+Objetivos!$D$21,Objetivos!$E$21*12*(1+Objetivos!$B$9)^(B37-1)))</f>
        <v>0</v>
      </c>
      <c r="T37" s="158">
        <f>MAX(0,(T36-W36)*(1+Objetivos!$B$21)+S37)</f>
        <v>210340.748166909</v>
      </c>
      <c r="U37" s="157">
        <f>MAX(0,U36-IF(T36=0,0,V36*U36/T36)+S37)</f>
        <v>85282.9934206879</v>
      </c>
      <c r="V37" s="159">
        <f>MIN(T37,SUMIFS(Objetivos!$I$26:$I$45,Objetivos!$E$26:$E$45,B37,Objetivos!$C$26:$C$45,"Único",Objetivos!$B$26:$B$45,Objetivos!$A$21)+SUMPRODUCT(((Objetivos!$C$26:$C$45="Renta")+(Objetivos!$C$26:$C$45="Jubilación"))*(Objetivos!$B$26:$B$45=Objetivos!$A$21)*(B37&gt;=Objetivos!$E$26:$E$45)*(B37&lt;Objetivos!$E$26:$E$45+Objetivos!$H$26:$H$45)*Objetivos!$G$26:$G$45)*12*(1+Objetivos!$B$6)^B37)</f>
        <v>6611.2708133184</v>
      </c>
      <c r="W37" s="157">
        <f>V37+IF(T37=0,0,V37*MAX(0,T37-U37)/T37)*Objetivos!$B$7</f>
        <v>7476.02931613063</v>
      </c>
      <c r="X37" s="160">
        <f>MAX(0,SUMIFS(Objetivos!$I$26:$I$45,Objetivos!$E$26:$E$45,B37,Objetivos!$C$26:$C$45,"Único",Objetivos!$B$26:$B$45,Objetivos!$A$21)+SUMPRODUCT(((Objetivos!$C$26:$C$45="Renta")+(Objetivos!$C$26:$C$45="Jubilación"))*(Objetivos!$B$26:$B$45=Objetivos!$A$21)*(B37&gt;=Objetivos!$E$26:$E$45)*(B37&lt;Objetivos!$E$26:$E$45+Objetivos!$H$26:$H$45)*Objetivos!$G$26:$G$45)*12*(1+Objetivos!$B$6)^B37-T37)</f>
        <v>0</v>
      </c>
    </row>
    <row r="38">
      <c r="A38" s="144">
        <f>Objetivos!$B$5+B38</f>
        <v>2059</v>
      </c>
      <c r="B38" s="145" t="n">
        <v>33</v>
      </c>
      <c r="C38" s="126">
        <f>H38+N38+T38</f>
        <v>1019755.68323066</v>
      </c>
      <c r="D38" s="126">
        <f>(H38-MAX(0,H38-I38)*Objetivos!$B$7)+(N38-MAX(0,N38-O38)*Objetivos!$B$7)+(T38-MAX(0,T38-U38)*Objetivos!$B$7)</f>
        <v>888978.538844028</v>
      </c>
      <c r="E38" s="146">
        <f>G38+M38+S38</f>
        <v>0</v>
      </c>
      <c r="F38" s="147">
        <f>J38+P38+V38</f>
        <v>25750.8998178752</v>
      </c>
      <c r="G38" s="148">
        <f>IF(B38&gt;=Objetivos!$B$11,0,IF(B38=1,Objetivos!$E$19*12+Objetivos!$C$19+Objetivos!$D$19,Objetivos!$E$19*12*(1+Objetivos!$B$9)^(B38-1)))</f>
        <v>0</v>
      </c>
      <c r="H38" s="149">
        <f>MAX(0,(H37-K37)*(1+Objetivos!$B$19)+G38)</f>
        <v>229939.116131884</v>
      </c>
      <c r="I38" s="148">
        <f>MAX(0,I37-IF(H37=0,0,J37*I37/H37)+G38)</f>
        <v>143994.109707777</v>
      </c>
      <c r="J38" s="150">
        <f>MIN(H38,SUMIFS(Objetivos!$I$26:$I$45,Objetivos!$E$26:$E$45,B38,Objetivos!$C$26:$C$45,"Único",Objetivos!$B$26:$B$45,Objetivos!$A$19)+SUMPRODUCT(((Objetivos!$C$26:$C$45="Renta")+(Objetivos!$C$26:$C$45="Jubilación"))*(Objetivos!$B$26:$B$45=Objetivos!$A$19)*(B38&gt;=Objetivos!$E$26:$E$45)*(B38&lt;Objetivos!$E$26:$E$45+Objetivos!$H$26:$H$45)*Objetivos!$G$26:$G$45)*12*(1+Objetivos!$B$6)^B38)</f>
        <v>0</v>
      </c>
      <c r="K38" s="148">
        <f>J38+IF(H38=0,0,J38*MAX(0,H38-I38)/H38)*Objetivos!$B$7</f>
        <v>0</v>
      </c>
      <c r="L38" s="151">
        <f>MAX(0,SUMIFS(Objetivos!$I$26:$I$45,Objetivos!$E$26:$E$45,B38,Objetivos!$C$26:$C$45,"Único",Objetivos!$B$26:$B$45,Objetivos!$A$19)+SUMPRODUCT(((Objetivos!$C$26:$C$45="Renta")+(Objetivos!$C$26:$C$45="Jubilación"))*(Objetivos!$B$26:$B$45=Objetivos!$A$19)*(B38&gt;=Objetivos!$E$26:$E$45)*(B38&lt;Objetivos!$E$26:$E$45+Objetivos!$H$26:$H$45)*Objetivos!$G$26:$G$45)*12*(1+Objetivos!$B$6)^B38-H38)</f>
        <v>0</v>
      </c>
      <c r="M38" s="148">
        <f>IF(B38&gt;=Objetivos!$B$11,0,IF(B38=1,Objetivos!$E$20*12+Objetivos!$C$20+Objetivos!$D$20,Objetivos!$E$20*12*(1+Objetivos!$B$9)^(B38-1)))</f>
        <v>0</v>
      </c>
      <c r="N38" s="149">
        <f>MAX(0,(N37-Q37)*(1+Objetivos!$B$20)+M38)</f>
        <v>576808.612305455</v>
      </c>
      <c r="O38" s="148">
        <f>MAX(0,O37-IF(N37=0,0,P37*O37/N37)+M38)</f>
        <v>198717.565054416</v>
      </c>
      <c r="P38" s="150">
        <f>MIN(N38,SUMIFS(Objetivos!$I$26:$I$45,Objetivos!$E$26:$E$45,B38,Objetivos!$C$26:$C$45,"Único",Objetivos!$B$26:$B$45,Objetivos!$A$20)+SUMPRODUCT(((Objetivos!$C$26:$C$45="Renta")+(Objetivos!$C$26:$C$45="Jubilación"))*(Objetivos!$B$26:$B$45=Objetivos!$A$20)*(B38&gt;=Objetivos!$E$26:$E$45)*(B38&lt;Objetivos!$E$26:$E$45+Objetivos!$H$26:$H$45)*Objetivos!$G$26:$G$45)*12*(1+Objetivos!$B$6)^B38)</f>
        <v>18974.3472342238</v>
      </c>
      <c r="Q38" s="148">
        <f>P38+IF(N38=0,0,P38*MAX(0,N38-O38)/N38)*Objetivos!$B$7</f>
        <v>21710.5872036031</v>
      </c>
      <c r="R38" s="151">
        <f>MAX(0,SUMIFS(Objetivos!$I$26:$I$45,Objetivos!$E$26:$E$45,B38,Objetivos!$C$26:$C$45,"Único",Objetivos!$B$26:$B$45,Objetivos!$A$20)+SUMPRODUCT(((Objetivos!$C$26:$C$45="Renta")+(Objetivos!$C$26:$C$45="Jubilación"))*(Objetivos!$B$26:$B$45=Objetivos!$A$20)*(B38&gt;=Objetivos!$E$26:$E$45)*(B38&lt;Objetivos!$E$26:$E$45+Objetivos!$H$26:$H$45)*Objetivos!$G$26:$G$45)*12*(1+Objetivos!$B$6)^B38-N38)</f>
        <v>0</v>
      </c>
      <c r="S38" s="148">
        <f>IF(B38&gt;=Objetivos!$B$11,0,IF(B38=1,Objetivos!$E$21*12+Objetivos!$C$21+Objetivos!$D$21,Objetivos!$E$21*12*(1+Objetivos!$B$9)^(B38-1)))</f>
        <v>0</v>
      </c>
      <c r="T38" s="149">
        <f>MAX(0,(T37-W37)*(1+Objetivos!$B$21)+S38)</f>
        <v>213007.954793317</v>
      </c>
      <c r="U38" s="148">
        <f>MAX(0,U37-IF(T37=0,0,V37*U37/T37)+S38)</f>
        <v>82602.4430746978</v>
      </c>
      <c r="V38" s="150">
        <f>MIN(T38,SUMIFS(Objetivos!$I$26:$I$45,Objetivos!$E$26:$E$45,B38,Objetivos!$C$26:$C$45,"Único",Objetivos!$B$26:$B$45,Objetivos!$A$21)+SUMPRODUCT(((Objetivos!$C$26:$C$45="Renta")+(Objetivos!$C$26:$C$45="Jubilación"))*(Objetivos!$B$26:$B$45=Objetivos!$A$21)*(B38&gt;=Objetivos!$E$26:$E$45)*(B38&lt;Objetivos!$E$26:$E$45+Objetivos!$H$26:$H$45)*Objetivos!$G$26:$G$45)*12*(1+Objetivos!$B$6)^B38)</f>
        <v>6776.55258365136</v>
      </c>
      <c r="W38" s="148">
        <f>V38+IF(T38=0,0,V38*MAX(0,T38-U38)/T38)*Objetivos!$B$7</f>
        <v>7689.26008233451</v>
      </c>
      <c r="X38" s="151">
        <f>MAX(0,SUMIFS(Objetivos!$I$26:$I$45,Objetivos!$E$26:$E$45,B38,Objetivos!$C$26:$C$45,"Único",Objetivos!$B$26:$B$45,Objetivos!$A$21)+SUMPRODUCT(((Objetivos!$C$26:$C$45="Renta")+(Objetivos!$C$26:$C$45="Jubilación"))*(Objetivos!$B$26:$B$45=Objetivos!$A$21)*(B38&gt;=Objetivos!$E$26:$E$45)*(B38&lt;Objetivos!$E$26:$E$45+Objetivos!$H$26:$H$45)*Objetivos!$G$26:$G$45)*12*(1+Objetivos!$B$6)^B38-T38)</f>
        <v>0</v>
      </c>
    </row>
    <row r="39">
      <c r="A39" s="152">
        <f>Objetivos!$B$5+B39</f>
        <v>2060</v>
      </c>
      <c r="B39" s="153" t="n">
        <v>34</v>
      </c>
      <c r="C39" s="154">
        <f>H39+N39+T39</f>
        <v>1041975.52125099</v>
      </c>
      <c r="D39" s="154">
        <f>(H39-MAX(0,H39-I39)*Objetivos!$B$7)+(N39-MAX(0,N39-O39)*Objetivos!$B$7)+(T39-MAX(0,T39-U39)*Objetivos!$B$7)</f>
        <v>904293.762008022</v>
      </c>
      <c r="E39" s="155">
        <f>G39+M39+S39</f>
        <v>0</v>
      </c>
      <c r="F39" s="156">
        <f>J39+P39+V39</f>
        <v>26394.6723133221</v>
      </c>
      <c r="G39" s="157">
        <f>IF(B39&gt;=Objetivos!$B$11,0,IF(B39=1,Objetivos!$E$19*12+Objetivos!$C$19+Objetivos!$D$19,Objetivos!$E$19*12*(1+Objetivos!$B$9)^(B39-1)))</f>
        <v>0</v>
      </c>
      <c r="H39" s="158">
        <f>MAX(0,(H38-K38)*(1+Objetivos!$B$19)+G39)</f>
        <v>237986.9851965</v>
      </c>
      <c r="I39" s="157">
        <f>MAX(0,I38-IF(H38=0,0,J38*I38/H38)+G39)</f>
        <v>143994.109707777</v>
      </c>
      <c r="J39" s="159">
        <f>MIN(H39,SUMIFS(Objetivos!$I$26:$I$45,Objetivos!$E$26:$E$45,B39,Objetivos!$C$26:$C$45,"Único",Objetivos!$B$26:$B$45,Objetivos!$A$19)+SUMPRODUCT(((Objetivos!$C$26:$C$45="Renta")+(Objetivos!$C$26:$C$45="Jubilación"))*(Objetivos!$B$26:$B$45=Objetivos!$A$19)*(B39&gt;=Objetivos!$E$26:$E$45)*(B39&lt;Objetivos!$E$26:$E$45+Objetivos!$H$26:$H$45)*Objetivos!$G$26:$G$45)*12*(1+Objetivos!$B$6)^B39)</f>
        <v>0</v>
      </c>
      <c r="K39" s="157">
        <f>J39+IF(H39=0,0,J39*MAX(0,H39-I39)/H39)*Objetivos!$B$7</f>
        <v>0</v>
      </c>
      <c r="L39" s="160">
        <f>MAX(0,SUMIFS(Objetivos!$I$26:$I$45,Objetivos!$E$26:$E$45,B39,Objetivos!$C$26:$C$45,"Único",Objetivos!$B$26:$B$45,Objetivos!$A$19)+SUMPRODUCT(((Objetivos!$C$26:$C$45="Renta")+(Objetivos!$C$26:$C$45="Jubilación"))*(Objetivos!$B$26:$B$45=Objetivos!$A$19)*(B39&gt;=Objetivos!$E$26:$E$45)*(B39&lt;Objetivos!$E$26:$E$45+Objetivos!$H$26:$H$45)*Objetivos!$G$26:$G$45)*12*(1+Objetivos!$B$6)^B39-H39)</f>
        <v>0</v>
      </c>
      <c r="M39" s="157">
        <f>IF(B39&gt;=Objetivos!$B$11,0,IF(B39=1,Objetivos!$E$20*12+Objetivos!$C$20+Objetivos!$D$20,Objetivos!$E$20*12*(1+Objetivos!$B$9)^(B39-1)))</f>
        <v>0</v>
      </c>
      <c r="N39" s="158">
        <f>MAX(0,(N38-Q38)*(1+Objetivos!$B$20)+M39)</f>
        <v>588403.906607963</v>
      </c>
      <c r="O39" s="157">
        <f>MAX(0,O38-IF(N38=0,0,P38*O38/N38)+M39)</f>
        <v>192180.672226461</v>
      </c>
      <c r="P39" s="159">
        <f>MIN(N39,SUMIFS(Objetivos!$I$26:$I$45,Objetivos!$E$26:$E$45,B39,Objetivos!$C$26:$C$45,"Único",Objetivos!$B$26:$B$45,Objetivos!$A$20)+SUMPRODUCT(((Objetivos!$C$26:$C$45="Renta")+(Objetivos!$C$26:$C$45="Jubilación"))*(Objetivos!$B$26:$B$45=Objetivos!$A$20)*(B39&gt;=Objetivos!$E$26:$E$45)*(B39&lt;Objetivos!$E$26:$E$45+Objetivos!$H$26:$H$45)*Objetivos!$G$26:$G$45)*12*(1+Objetivos!$B$6)^B39)</f>
        <v>19448.7059150794</v>
      </c>
      <c r="Q39" s="157">
        <f>P39+IF(N39=0,0,P39*MAX(0,N39-O39)/N39)*Objetivos!$B$7</f>
        <v>22329.9349427024</v>
      </c>
      <c r="R39" s="160">
        <f>MAX(0,SUMIFS(Objetivos!$I$26:$I$45,Objetivos!$E$26:$E$45,B39,Objetivos!$C$26:$C$45,"Único",Objetivos!$B$26:$B$45,Objetivos!$A$20)+SUMPRODUCT(((Objetivos!$C$26:$C$45="Renta")+(Objetivos!$C$26:$C$45="Jubilación"))*(Objetivos!$B$26:$B$45=Objetivos!$A$20)*(B39&gt;=Objetivos!$E$26:$E$45)*(B39&lt;Objetivos!$E$26:$E$45+Objetivos!$H$26:$H$45)*Objetivos!$G$26:$G$45)*12*(1+Objetivos!$B$6)^B39-N39)</f>
        <v>0</v>
      </c>
      <c r="S39" s="157">
        <f>IF(B39&gt;=Objetivos!$B$11,0,IF(B39=1,Objetivos!$E$21*12+Objetivos!$C$21+Objetivos!$D$21,Objetivos!$E$21*12*(1+Objetivos!$B$9)^(B39-1)))</f>
        <v>0</v>
      </c>
      <c r="T39" s="158">
        <f>MAX(0,(T38-W38)*(1+Objetivos!$B$21)+S39)</f>
        <v>215584.629446532</v>
      </c>
      <c r="U39" s="157">
        <f>MAX(0,U38-IF(T38=0,0,V38*U38/T38)+S39)</f>
        <v>79974.5609396062</v>
      </c>
      <c r="V39" s="159">
        <f>MIN(T39,SUMIFS(Objetivos!$I$26:$I$45,Objetivos!$E$26:$E$45,B39,Objetivos!$C$26:$C$45,"Único",Objetivos!$B$26:$B$45,Objetivos!$A$21)+SUMPRODUCT(((Objetivos!$C$26:$C$45="Renta")+(Objetivos!$C$26:$C$45="Jubilación"))*(Objetivos!$B$26:$B$45=Objetivos!$A$21)*(B39&gt;=Objetivos!$E$26:$E$45)*(B39&lt;Objetivos!$E$26:$E$45+Objetivos!$H$26:$H$45)*Objetivos!$G$26:$G$45)*12*(1+Objetivos!$B$6)^B39)</f>
        <v>6945.96639824265</v>
      </c>
      <c r="W39" s="157">
        <f>V39+IF(T39=0,0,V39*MAX(0,T39-U39)/T39)*Objetivos!$B$7</f>
        <v>7907.2012318055</v>
      </c>
      <c r="X39" s="160">
        <f>MAX(0,SUMIFS(Objetivos!$I$26:$I$45,Objetivos!$E$26:$E$45,B39,Objetivos!$C$26:$C$45,"Único",Objetivos!$B$26:$B$45,Objetivos!$A$21)+SUMPRODUCT(((Objetivos!$C$26:$C$45="Renta")+(Objetivos!$C$26:$C$45="Jubilación"))*(Objetivos!$B$26:$B$45=Objetivos!$A$21)*(B39&gt;=Objetivos!$E$26:$E$45)*(B39&lt;Objetivos!$E$26:$E$45+Objetivos!$H$26:$H$45)*Objetivos!$G$26:$G$45)*12*(1+Objetivos!$B$6)^B39-T39)</f>
        <v>0</v>
      </c>
    </row>
    <row r="40">
      <c r="A40" s="144">
        <f>Objetivos!$B$5+B40</f>
        <v>2061</v>
      </c>
      <c r="B40" s="145" t="n">
        <v>35</v>
      </c>
      <c r="C40" s="126">
        <f>H40+N40+T40</f>
        <v>1064416.23926902</v>
      </c>
      <c r="D40" s="126">
        <f>(H40-MAX(0,H40-I40)*Objetivos!$B$7)+(N40-MAX(0,N40-O40)*Objetivos!$B$7)+(T40-MAX(0,T40-U40)*Objetivos!$B$7)</f>
        <v>919833.158014333</v>
      </c>
      <c r="E40" s="146">
        <f>G40+M40+S40</f>
        <v>0</v>
      </c>
      <c r="F40" s="147">
        <f>J40+P40+V40</f>
        <v>27054.5391211551</v>
      </c>
      <c r="G40" s="148">
        <f>IF(B40&gt;=Objetivos!$B$11,0,IF(B40=1,Objetivos!$E$19*12+Objetivos!$C$19+Objetivos!$D$19,Objetivos!$E$19*12*(1+Objetivos!$B$9)^(B40-1)))</f>
        <v>0</v>
      </c>
      <c r="H40" s="149">
        <f>MAX(0,(H39-K39)*(1+Objetivos!$B$19)+G40)</f>
        <v>246316.529678377</v>
      </c>
      <c r="I40" s="148">
        <f>MAX(0,I39-IF(H39=0,0,J39*I39/H39)+G40)</f>
        <v>143994.109707777</v>
      </c>
      <c r="J40" s="150">
        <f>MIN(H40,SUMIFS(Objetivos!$I$26:$I$45,Objetivos!$E$26:$E$45,B40,Objetivos!$C$26:$C$45,"Único",Objetivos!$B$26:$B$45,Objetivos!$A$19)+SUMPRODUCT(((Objetivos!$C$26:$C$45="Renta")+(Objetivos!$C$26:$C$45="Jubilación"))*(Objetivos!$B$26:$B$45=Objetivos!$A$19)*(B40&gt;=Objetivos!$E$26:$E$45)*(B40&lt;Objetivos!$E$26:$E$45+Objetivos!$H$26:$H$45)*Objetivos!$G$26:$G$45)*12*(1+Objetivos!$B$6)^B40)</f>
        <v>0</v>
      </c>
      <c r="K40" s="148">
        <f>J40+IF(H40=0,0,J40*MAX(0,H40-I40)/H40)*Objetivos!$B$7</f>
        <v>0</v>
      </c>
      <c r="L40" s="151">
        <f>MAX(0,SUMIFS(Objetivos!$I$26:$I$45,Objetivos!$E$26:$E$45,B40,Objetivos!$C$26:$C$45,"Único",Objetivos!$B$26:$B$45,Objetivos!$A$19)+SUMPRODUCT(((Objetivos!$C$26:$C$45="Renta")+(Objetivos!$C$26:$C$45="Jubilación"))*(Objetivos!$B$26:$B$45=Objetivos!$A$19)*(B40&gt;=Objetivos!$E$26:$E$45)*(B40&lt;Objetivos!$E$26:$E$45+Objetivos!$H$26:$H$45)*Objetivos!$G$26:$G$45)*12*(1+Objetivos!$B$6)^B40-H40)</f>
        <v>0</v>
      </c>
      <c r="M40" s="148">
        <f>IF(B40&gt;=Objetivos!$B$11,0,IF(B40=1,Objetivos!$E$20*12+Objetivos!$C$20+Objetivos!$D$20,Objetivos!$E$20*12*(1+Objetivos!$B$9)^(B40-1)))</f>
        <v>0</v>
      </c>
      <c r="N40" s="149">
        <f>MAX(0,(N39-Q39)*(1+Objetivos!$B$20)+M40)</f>
        <v>600038.409965176</v>
      </c>
      <c r="O40" s="148">
        <f>MAX(0,O39-IF(N39=0,0,P39*O39/N39)+M40)</f>
        <v>185828.461891486</v>
      </c>
      <c r="P40" s="150">
        <f>MIN(N40,SUMIFS(Objetivos!$I$26:$I$45,Objetivos!$E$26:$E$45,B40,Objetivos!$C$26:$C$45,"Único",Objetivos!$B$26:$B$45,Objetivos!$A$20)+SUMPRODUCT(((Objetivos!$C$26:$C$45="Renta")+(Objetivos!$C$26:$C$45="Jubilación"))*(Objetivos!$B$26:$B$45=Objetivos!$A$20)*(B40&gt;=Objetivos!$E$26:$E$45)*(B40&lt;Objetivos!$E$26:$E$45+Objetivos!$H$26:$H$45)*Objetivos!$G$26:$G$45)*12*(1+Objetivos!$B$6)^B40)</f>
        <v>19934.9235629564</v>
      </c>
      <c r="Q40" s="148">
        <f>P40+IF(N40=0,0,P40*MAX(0,N40-O40)/N40)*Objetivos!$B$7</f>
        <v>22962.3857615109</v>
      </c>
      <c r="R40" s="151">
        <f>MAX(0,SUMIFS(Objetivos!$I$26:$I$45,Objetivos!$E$26:$E$45,B40,Objetivos!$C$26:$C$45,"Único",Objetivos!$B$26:$B$45,Objetivos!$A$20)+SUMPRODUCT(((Objetivos!$C$26:$C$45="Renta")+(Objetivos!$C$26:$C$45="Jubilación"))*(Objetivos!$B$26:$B$45=Objetivos!$A$20)*(B40&gt;=Objetivos!$E$26:$E$45)*(B40&lt;Objetivos!$E$26:$E$45+Objetivos!$H$26:$H$45)*Objetivos!$G$26:$G$45)*12*(1+Objetivos!$B$6)^B40-N40)</f>
        <v>0</v>
      </c>
      <c r="S40" s="148">
        <f>IF(B40&gt;=Objetivos!$B$11,0,IF(B40=1,Objetivos!$E$21*12+Objetivos!$C$21+Objetivos!$D$21,Objetivos!$E$21*12*(1+Objetivos!$B$9)^(B40-1)))</f>
        <v>0</v>
      </c>
      <c r="T40" s="149">
        <f>MAX(0,(T39-W39)*(1+Objetivos!$B$21)+S40)</f>
        <v>218061.299625462</v>
      </c>
      <c r="U40" s="148">
        <f>MAX(0,U39-IF(T39=0,0,V39*U39/T39)+S40)</f>
        <v>77397.8437848311</v>
      </c>
      <c r="V40" s="150">
        <f>MIN(T40,SUMIFS(Objetivos!$I$26:$I$45,Objetivos!$E$26:$E$45,B40,Objetivos!$C$26:$C$45,"Único",Objetivos!$B$26:$B$45,Objetivos!$A$21)+SUMPRODUCT(((Objetivos!$C$26:$C$45="Renta")+(Objetivos!$C$26:$C$45="Jubilación"))*(Objetivos!$B$26:$B$45=Objetivos!$A$21)*(B40&gt;=Objetivos!$E$26:$E$45)*(B40&lt;Objetivos!$E$26:$E$45+Objetivos!$H$26:$H$45)*Objetivos!$G$26:$G$45)*12*(1+Objetivos!$B$6)^B40)</f>
        <v>7119.61555819871</v>
      </c>
      <c r="W40" s="148">
        <f>V40+IF(T40=0,0,V40*MAX(0,T40-U40)/T40)*Objetivos!$B$7</f>
        <v>8129.98897469432</v>
      </c>
      <c r="X40" s="151">
        <f>MAX(0,SUMIFS(Objetivos!$I$26:$I$45,Objetivos!$E$26:$E$45,B40,Objetivos!$C$26:$C$45,"Único",Objetivos!$B$26:$B$45,Objetivos!$A$21)+SUMPRODUCT(((Objetivos!$C$26:$C$45="Renta")+(Objetivos!$C$26:$C$45="Jubilación"))*(Objetivos!$B$26:$B$45=Objetivos!$A$21)*(B40&gt;=Objetivos!$E$26:$E$45)*(B40&lt;Objetivos!$E$26:$E$45+Objetivos!$H$26:$H$45)*Objetivos!$G$26:$G$45)*12*(1+Objetivos!$B$6)^B40-T40)</f>
        <v>0</v>
      </c>
    </row>
    <row r="41">
      <c r="A41" s="152">
        <f>Objetivos!$B$5+B41</f>
        <v>2062</v>
      </c>
      <c r="B41" s="153" t="n">
        <v>36</v>
      </c>
      <c r="C41" s="154">
        <f>H41+N41+T41</f>
        <v>1087066.07005631</v>
      </c>
      <c r="D41" s="154">
        <f>(H41-MAX(0,H41-I41)*Objetivos!$B$7)+(N41-MAX(0,N41-O41)*Objetivos!$B$7)+(T41-MAX(0,T41-U41)*Objetivos!$B$7)</f>
        <v>935585.86303682</v>
      </c>
      <c r="E41" s="155">
        <f>G41+M41+S41</f>
        <v>0</v>
      </c>
      <c r="F41" s="156">
        <f>J41+P41+V41</f>
        <v>27730.902599184</v>
      </c>
      <c r="G41" s="157">
        <f>IF(B41&gt;=Objetivos!$B$11,0,IF(B41=1,Objetivos!$E$19*12+Objetivos!$C$19+Objetivos!$D$19,Objetivos!$E$19*12*(1+Objetivos!$B$9)^(B41-1)))</f>
        <v>0</v>
      </c>
      <c r="H41" s="158">
        <f>MAX(0,(H40-K40)*(1+Objetivos!$B$19)+G41)</f>
        <v>254937.608217121</v>
      </c>
      <c r="I41" s="157">
        <f>MAX(0,I40-IF(H40=0,0,J40*I40/H40)+G41)</f>
        <v>143994.109707777</v>
      </c>
      <c r="J41" s="159">
        <f>MIN(H41,SUMIFS(Objetivos!$I$26:$I$45,Objetivos!$E$26:$E$45,B41,Objetivos!$C$26:$C$45,"Único",Objetivos!$B$26:$B$45,Objetivos!$A$19)+SUMPRODUCT(((Objetivos!$C$26:$C$45="Renta")+(Objetivos!$C$26:$C$45="Jubilación"))*(Objetivos!$B$26:$B$45=Objetivos!$A$19)*(B41&gt;=Objetivos!$E$26:$E$45)*(B41&lt;Objetivos!$E$26:$E$45+Objetivos!$H$26:$H$45)*Objetivos!$G$26:$G$45)*12*(1+Objetivos!$B$6)^B41)</f>
        <v>0</v>
      </c>
      <c r="K41" s="157">
        <f>J41+IF(H41=0,0,J41*MAX(0,H41-I41)/H41)*Objetivos!$B$7</f>
        <v>0</v>
      </c>
      <c r="L41" s="160">
        <f>MAX(0,SUMIFS(Objetivos!$I$26:$I$45,Objetivos!$E$26:$E$45,B41,Objetivos!$C$26:$C$45,"Único",Objetivos!$B$26:$B$45,Objetivos!$A$19)+SUMPRODUCT(((Objetivos!$C$26:$C$45="Renta")+(Objetivos!$C$26:$C$45="Jubilación"))*(Objetivos!$B$26:$B$45=Objetivos!$A$19)*(B41&gt;=Objetivos!$E$26:$E$45)*(B41&lt;Objetivos!$E$26:$E$45+Objetivos!$H$26:$H$45)*Objetivos!$G$26:$G$45)*12*(1+Objetivos!$B$6)^B41-H41)</f>
        <v>0</v>
      </c>
      <c r="M41" s="157">
        <f>IF(B41&gt;=Objetivos!$B$11,0,IF(B41=1,Objetivos!$E$20*12+Objetivos!$C$20+Objetivos!$D$20,Objetivos!$E$20*12*(1+Objetivos!$B$9)^(B41-1)))</f>
        <v>0</v>
      </c>
      <c r="N41" s="158">
        <f>MAX(0,(N40-Q40)*(1+Objetivos!$B$20)+M41)</f>
        <v>611700.585655885</v>
      </c>
      <c r="O41" s="157">
        <f>MAX(0,O40-IF(N40=0,0,P40*O40/N40)+M41)</f>
        <v>179654.730140141</v>
      </c>
      <c r="P41" s="159">
        <f>MIN(N41,SUMIFS(Objetivos!$I$26:$I$45,Objetivos!$E$26:$E$45,B41,Objetivos!$C$26:$C$45,"Único",Objetivos!$B$26:$B$45,Objetivos!$A$20)+SUMPRODUCT(((Objetivos!$C$26:$C$45="Renta")+(Objetivos!$C$26:$C$45="Jubilación"))*(Objetivos!$B$26:$B$45=Objetivos!$A$20)*(B41&gt;=Objetivos!$E$26:$E$45)*(B41&lt;Objetivos!$E$26:$E$45+Objetivos!$H$26:$H$45)*Objetivos!$G$26:$G$45)*12*(1+Objetivos!$B$6)^B41)</f>
        <v>20433.2966520303</v>
      </c>
      <c r="Q41" s="157">
        <f>P41+IF(N41=0,0,P41*MAX(0,N41-O41)/N41)*Objetivos!$B$7</f>
        <v>23608.3576129167</v>
      </c>
      <c r="R41" s="160">
        <f>MAX(0,SUMIFS(Objetivos!$I$26:$I$45,Objetivos!$E$26:$E$45,B41,Objetivos!$C$26:$C$45,"Único",Objetivos!$B$26:$B$45,Objetivos!$A$20)+SUMPRODUCT(((Objetivos!$C$26:$C$45="Renta")+(Objetivos!$C$26:$C$45="Jubilación"))*(Objetivos!$B$26:$B$45=Objetivos!$A$20)*(B41&gt;=Objetivos!$E$26:$E$45)*(B41&lt;Objetivos!$E$26:$E$45+Objetivos!$H$26:$H$45)*Objetivos!$G$26:$G$45)*12*(1+Objetivos!$B$6)^B41-N41)</f>
        <v>0</v>
      </c>
      <c r="S41" s="157">
        <f>IF(B41&gt;=Objetivos!$B$11,0,IF(B41=1,Objetivos!$E$21*12+Objetivos!$C$21+Objetivos!$D$21,Objetivos!$E$21*12*(1+Objetivos!$B$9)^(B41-1)))</f>
        <v>0</v>
      </c>
      <c r="T41" s="158">
        <f>MAX(0,(T40-W40)*(1+Objetivos!$B$21)+S41)</f>
        <v>220427.876183307</v>
      </c>
      <c r="U41" s="157">
        <f>MAX(0,U40-IF(T40=0,0,V40*U40/T40)+S41)</f>
        <v>74870.8346652488</v>
      </c>
      <c r="V41" s="159">
        <f>MIN(T41,SUMIFS(Objetivos!$I$26:$I$45,Objetivos!$E$26:$E$45,B41,Objetivos!$C$26:$C$45,"Único",Objetivos!$B$26:$B$45,Objetivos!$A$21)+SUMPRODUCT(((Objetivos!$C$26:$C$45="Renta")+(Objetivos!$C$26:$C$45="Jubilación"))*(Objetivos!$B$26:$B$45=Objetivos!$A$21)*(B41&gt;=Objetivos!$E$26:$E$45)*(B41&lt;Objetivos!$E$26:$E$45+Objetivos!$H$26:$H$45)*Objetivos!$G$26:$G$45)*12*(1+Objetivos!$B$6)^B41)</f>
        <v>7297.60594715368</v>
      </c>
      <c r="W41" s="157">
        <f>V41+IF(T41=0,0,V41*MAX(0,T41-U41)/T41)*Objetivos!$B$7</f>
        <v>8357.76199025218</v>
      </c>
      <c r="X41" s="160">
        <f>MAX(0,SUMIFS(Objetivos!$I$26:$I$45,Objetivos!$E$26:$E$45,B41,Objetivos!$C$26:$C$45,"Único",Objetivos!$B$26:$B$45,Objetivos!$A$21)+SUMPRODUCT(((Objetivos!$C$26:$C$45="Renta")+(Objetivos!$C$26:$C$45="Jubilación"))*(Objetivos!$B$26:$B$45=Objetivos!$A$21)*(B41&gt;=Objetivos!$E$26:$E$45)*(B41&lt;Objetivos!$E$26:$E$45+Objetivos!$H$26:$H$45)*Objetivos!$G$26:$G$45)*12*(1+Objetivos!$B$6)^B41-T41)</f>
        <v>0</v>
      </c>
    </row>
    <row r="42">
      <c r="A42" s="144">
        <f>Objetivos!$B$5+B42</f>
        <v>2063</v>
      </c>
      <c r="B42" s="145" t="n">
        <v>37</v>
      </c>
      <c r="C42" s="126">
        <f>H42+N42+T42</f>
        <v>1109911.80613297</v>
      </c>
      <c r="D42" s="126">
        <f>(H42-MAX(0,H42-I42)*Objetivos!$B$7)+(N42-MAX(0,N42-O42)*Objetivos!$B$7)+(T42-MAX(0,T42-U42)*Objetivos!$B$7)</f>
        <v>951539.955608781</v>
      </c>
      <c r="E42" s="146">
        <f>G42+M42+S42</f>
        <v>0</v>
      </c>
      <c r="F42" s="147">
        <f>J42+P42+V42</f>
        <v>28424.1751641636</v>
      </c>
      <c r="G42" s="148">
        <f>IF(B42&gt;=Objetivos!$B$11,0,IF(B42=1,Objetivos!$E$19*12+Objetivos!$C$19+Objetivos!$D$19,Objetivos!$E$19*12*(1+Objetivos!$B$9)^(B42-1)))</f>
        <v>0</v>
      </c>
      <c r="H42" s="149">
        <f>MAX(0,(H41-K41)*(1+Objetivos!$B$19)+G42)</f>
        <v>263860.42450472</v>
      </c>
      <c r="I42" s="148">
        <f>MAX(0,I41-IF(H41=0,0,J41*I41/H41)+G42)</f>
        <v>143994.109707777</v>
      </c>
      <c r="J42" s="150">
        <f>MIN(H42,SUMIFS(Objetivos!$I$26:$I$45,Objetivos!$E$26:$E$45,B42,Objetivos!$C$26:$C$45,"Único",Objetivos!$B$26:$B$45,Objetivos!$A$19)+SUMPRODUCT(((Objetivos!$C$26:$C$45="Renta")+(Objetivos!$C$26:$C$45="Jubilación"))*(Objetivos!$B$26:$B$45=Objetivos!$A$19)*(B42&gt;=Objetivos!$E$26:$E$45)*(B42&lt;Objetivos!$E$26:$E$45+Objetivos!$H$26:$H$45)*Objetivos!$G$26:$G$45)*12*(1+Objetivos!$B$6)^B42)</f>
        <v>0</v>
      </c>
      <c r="K42" s="148">
        <f>J42+IF(H42=0,0,J42*MAX(0,H42-I42)/H42)*Objetivos!$B$7</f>
        <v>0</v>
      </c>
      <c r="L42" s="151">
        <f>MAX(0,SUMIFS(Objetivos!$I$26:$I$45,Objetivos!$E$26:$E$45,B42,Objetivos!$C$26:$C$45,"Único",Objetivos!$B$26:$B$45,Objetivos!$A$19)+SUMPRODUCT(((Objetivos!$C$26:$C$45="Renta")+(Objetivos!$C$26:$C$45="Jubilación"))*(Objetivos!$B$26:$B$45=Objetivos!$A$19)*(B42&gt;=Objetivos!$E$26:$E$45)*(B42&lt;Objetivos!$E$26:$E$45+Objetivos!$H$26:$H$45)*Objetivos!$G$26:$G$45)*12*(1+Objetivos!$B$6)^B42-H42)</f>
        <v>0</v>
      </c>
      <c r="M42" s="148">
        <f>IF(B42&gt;=Objetivos!$B$11,0,IF(B42=1,Objetivos!$E$20*12+Objetivos!$C$20+Objetivos!$D$20,Objetivos!$E$20*12*(1+Objetivos!$B$9)^(B42-1)))</f>
        <v>0</v>
      </c>
      <c r="N42" s="149">
        <f>MAX(0,(N41-Q41)*(1+Objetivos!$B$20)+M42)</f>
        <v>623377.761725547</v>
      </c>
      <c r="O42" s="148">
        <f>MAX(0,O41-IF(N41=0,0,P41*O41/N41)+M42)</f>
        <v>173653.528764867</v>
      </c>
      <c r="P42" s="150">
        <f>MIN(N42,SUMIFS(Objetivos!$I$26:$I$45,Objetivos!$E$26:$E$45,B42,Objetivos!$C$26:$C$45,"Único",Objetivos!$B$26:$B$45,Objetivos!$A$20)+SUMPRODUCT(((Objetivos!$C$26:$C$45="Renta")+(Objetivos!$C$26:$C$45="Jubilación"))*(Objetivos!$B$26:$B$45=Objetivos!$A$20)*(B42&gt;=Objetivos!$E$26:$E$45)*(B42&lt;Objetivos!$E$26:$E$45+Objetivos!$H$26:$H$45)*Objetivos!$G$26:$G$45)*12*(1+Objetivos!$B$6)^B42)</f>
        <v>20944.1290683311</v>
      </c>
      <c r="Q42" s="148">
        <f>P42+IF(N42=0,0,P42*MAX(0,N42-O42)/N42)*Objetivos!$B$7</f>
        <v>24268.2741548139</v>
      </c>
      <c r="R42" s="151">
        <f>MAX(0,SUMIFS(Objetivos!$I$26:$I$45,Objetivos!$E$26:$E$45,B42,Objetivos!$C$26:$C$45,"Único",Objetivos!$B$26:$B$45,Objetivos!$A$20)+SUMPRODUCT(((Objetivos!$C$26:$C$45="Renta")+(Objetivos!$C$26:$C$45="Jubilación"))*(Objetivos!$B$26:$B$45=Objetivos!$A$20)*(B42&gt;=Objetivos!$E$26:$E$45)*(B42&lt;Objetivos!$E$26:$E$45+Objetivos!$H$26:$H$45)*Objetivos!$G$26:$G$45)*12*(1+Objetivos!$B$6)^B42-N42)</f>
        <v>0</v>
      </c>
      <c r="S42" s="148">
        <f>IF(B42&gt;=Objetivos!$B$11,0,IF(B42=1,Objetivos!$E$21*12+Objetivos!$C$21+Objetivos!$D$21,Objetivos!$E$21*12*(1+Objetivos!$B$9)^(B42-1)))</f>
        <v>0</v>
      </c>
      <c r="T42" s="149">
        <f>MAX(0,(T41-W41)*(1+Objetivos!$B$21)+S42)</f>
        <v>222673.619902707</v>
      </c>
      <c r="U42" s="148">
        <f>MAX(0,U41-IF(T41=0,0,V41*U41/T41)+S42)</f>
        <v>72392.1198230883</v>
      </c>
      <c r="V42" s="150">
        <f>MIN(T42,SUMIFS(Objetivos!$I$26:$I$45,Objetivos!$E$26:$E$45,B42,Objetivos!$C$26:$C$45,"Único",Objetivos!$B$26:$B$45,Objetivos!$A$21)+SUMPRODUCT(((Objetivos!$C$26:$C$45="Renta")+(Objetivos!$C$26:$C$45="Jubilación"))*(Objetivos!$B$26:$B$45=Objetivos!$A$21)*(B42&gt;=Objetivos!$E$26:$E$45)*(B42&lt;Objetivos!$E$26:$E$45+Objetivos!$H$26:$H$45)*Objetivos!$G$26:$G$45)*12*(1+Objetivos!$B$6)^B42)</f>
        <v>7480.04609583252</v>
      </c>
      <c r="W42" s="148">
        <f>V42+IF(T42=0,0,V42*MAX(0,T42-U42)/T42)*Objetivos!$B$7</f>
        <v>8590.66153674674</v>
      </c>
      <c r="X42" s="151">
        <f>MAX(0,SUMIFS(Objetivos!$I$26:$I$45,Objetivos!$E$26:$E$45,B42,Objetivos!$C$26:$C$45,"Único",Objetivos!$B$26:$B$45,Objetivos!$A$21)+SUMPRODUCT(((Objetivos!$C$26:$C$45="Renta")+(Objetivos!$C$26:$C$45="Jubilación"))*(Objetivos!$B$26:$B$45=Objetivos!$A$21)*(B42&gt;=Objetivos!$E$26:$E$45)*(B42&lt;Objetivos!$E$26:$E$45+Objetivos!$H$26:$H$45)*Objetivos!$G$26:$G$45)*12*(1+Objetivos!$B$6)^B42-T42)</f>
        <v>0</v>
      </c>
    </row>
    <row r="43">
      <c r="A43" s="152">
        <f>Objetivos!$B$5+B43</f>
        <v>2064</v>
      </c>
      <c r="B43" s="153" t="n">
        <v>38</v>
      </c>
      <c r="C43" s="154">
        <f>H43+N43+T43</f>
        <v>1132938.70247162</v>
      </c>
      <c r="D43" s="154">
        <f>(H43-MAX(0,H43-I43)*Objetivos!$B$7)+(N43-MAX(0,N43-O43)*Objetivos!$B$7)+(T43-MAX(0,T43-U43)*Objetivos!$B$7)</f>
        <v>967682.376744206</v>
      </c>
      <c r="E43" s="155">
        <f>G43+M43+S43</f>
        <v>0</v>
      </c>
      <c r="F43" s="156">
        <f>J43+P43+V43</f>
        <v>29134.7795432677</v>
      </c>
      <c r="G43" s="157">
        <f>IF(B43&gt;=Objetivos!$B$11,0,IF(B43=1,Objetivos!$E$19*12+Objetivos!$C$19+Objetivos!$D$19,Objetivos!$E$19*12*(1+Objetivos!$B$9)^(B43-1)))</f>
        <v>0</v>
      </c>
      <c r="H43" s="158">
        <f>MAX(0,(H42-K42)*(1+Objetivos!$B$19)+G43)</f>
        <v>273095.539362385</v>
      </c>
      <c r="I43" s="157">
        <f>MAX(0,I42-IF(H42=0,0,J42*I42/H42)+G43)</f>
        <v>143994.109707777</v>
      </c>
      <c r="J43" s="159">
        <f>MIN(H43,SUMIFS(Objetivos!$I$26:$I$45,Objetivos!$E$26:$E$45,B43,Objetivos!$C$26:$C$45,"Único",Objetivos!$B$26:$B$45,Objetivos!$A$19)+SUMPRODUCT(((Objetivos!$C$26:$C$45="Renta")+(Objetivos!$C$26:$C$45="Jubilación"))*(Objetivos!$B$26:$B$45=Objetivos!$A$19)*(B43&gt;=Objetivos!$E$26:$E$45)*(B43&lt;Objetivos!$E$26:$E$45+Objetivos!$H$26:$H$45)*Objetivos!$G$26:$G$45)*12*(1+Objetivos!$B$6)^B43)</f>
        <v>0</v>
      </c>
      <c r="K43" s="157">
        <f>J43+IF(H43=0,0,J43*MAX(0,H43-I43)/H43)*Objetivos!$B$7</f>
        <v>0</v>
      </c>
      <c r="L43" s="160">
        <f>MAX(0,SUMIFS(Objetivos!$I$26:$I$45,Objetivos!$E$26:$E$45,B43,Objetivos!$C$26:$C$45,"Único",Objetivos!$B$26:$B$45,Objetivos!$A$19)+SUMPRODUCT(((Objetivos!$C$26:$C$45="Renta")+(Objetivos!$C$26:$C$45="Jubilación"))*(Objetivos!$B$26:$B$45=Objetivos!$A$19)*(B43&gt;=Objetivos!$E$26:$E$45)*(B43&lt;Objetivos!$E$26:$E$45+Objetivos!$H$26:$H$45)*Objetivos!$G$26:$G$45)*12*(1+Objetivos!$B$6)^B43-H43)</f>
        <v>0</v>
      </c>
      <c r="M43" s="157">
        <f>IF(B43&gt;=Objetivos!$B$11,0,IF(B43=1,Objetivos!$E$20*12+Objetivos!$C$20+Objetivos!$D$20,Objetivos!$E$20*12*(1+Objetivos!$B$9)^(B43-1)))</f>
        <v>0</v>
      </c>
      <c r="N43" s="158">
        <f>MAX(0,(N42-Q42)*(1+Objetivos!$B$20)+M43)</f>
        <v>635056.056824977</v>
      </c>
      <c r="O43" s="157">
        <f>MAX(0,O42-IF(N42=0,0,P42*O42/N42)+M43)</f>
        <v>167819.15008964</v>
      </c>
      <c r="P43" s="159">
        <f>MIN(N43,SUMIFS(Objetivos!$I$26:$I$45,Objetivos!$E$26:$E$45,B43,Objetivos!$C$26:$C$45,"Único",Objetivos!$B$26:$B$45,Objetivos!$A$20)+SUMPRODUCT(((Objetivos!$C$26:$C$45="Renta")+(Objetivos!$C$26:$C$45="Jubilación"))*(Objetivos!$B$26:$B$45=Objetivos!$A$20)*(B43&gt;=Objetivos!$E$26:$E$45)*(B43&lt;Objetivos!$E$26:$E$45+Objetivos!$H$26:$H$45)*Objetivos!$G$26:$G$45)*12*(1+Objetivos!$B$6)^B43)</f>
        <v>21467.7322950393</v>
      </c>
      <c r="Q43" s="157">
        <f>P43+IF(N43=0,0,P43*MAX(0,N43-O43)/N43)*Objetivos!$B$7</f>
        <v>24942.5652320041</v>
      </c>
      <c r="R43" s="160">
        <f>MAX(0,SUMIFS(Objetivos!$I$26:$I$45,Objetivos!$E$26:$E$45,B43,Objetivos!$C$26:$C$45,"Único",Objetivos!$B$26:$B$45,Objetivos!$A$20)+SUMPRODUCT(((Objetivos!$C$26:$C$45="Renta")+(Objetivos!$C$26:$C$45="Jubilación"))*(Objetivos!$B$26:$B$45=Objetivos!$A$20)*(B43&gt;=Objetivos!$E$26:$E$45)*(B43&lt;Objetivos!$E$26:$E$45+Objetivos!$H$26:$H$45)*Objetivos!$G$26:$G$45)*12*(1+Objetivos!$B$6)^B43-N43)</f>
        <v>0</v>
      </c>
      <c r="S43" s="157">
        <f>IF(B43&gt;=Objetivos!$B$11,0,IF(B43=1,Objetivos!$E$21*12+Objetivos!$C$21+Objetivos!$D$21,Objetivos!$E$21*12*(1+Objetivos!$B$9)^(B43-1)))</f>
        <v>0</v>
      </c>
      <c r="T43" s="158">
        <f>MAX(0,(T42-W42)*(1+Objetivos!$B$21)+S43)</f>
        <v>224787.106284258</v>
      </c>
      <c r="U43" s="157">
        <f>MAX(0,U42-IF(T42=0,0,V42*U42/T42)+S43)</f>
        <v>69960.3257314113</v>
      </c>
      <c r="V43" s="159">
        <f>MIN(T43,SUMIFS(Objetivos!$I$26:$I$45,Objetivos!$E$26:$E$45,B43,Objetivos!$C$26:$C$45,"Único",Objetivos!$B$26:$B$45,Objetivos!$A$21)+SUMPRODUCT(((Objetivos!$C$26:$C$45="Renta")+(Objetivos!$C$26:$C$45="Jubilación"))*(Objetivos!$B$26:$B$45=Objetivos!$A$21)*(B43&gt;=Objetivos!$E$26:$E$45)*(B43&lt;Objetivos!$E$26:$E$45+Objetivos!$H$26:$H$45)*Objetivos!$G$26:$G$45)*12*(1+Objetivos!$B$6)^B43)</f>
        <v>7667.04724822833</v>
      </c>
      <c r="W43" s="157">
        <f>V43+IF(T43=0,0,V43*MAX(0,T43-U43)/T43)*Objetivos!$B$7</f>
        <v>8828.83155832795</v>
      </c>
      <c r="X43" s="160">
        <f>MAX(0,SUMIFS(Objetivos!$I$26:$I$45,Objetivos!$E$26:$E$45,B43,Objetivos!$C$26:$C$45,"Único",Objetivos!$B$26:$B$45,Objetivos!$A$21)+SUMPRODUCT(((Objetivos!$C$26:$C$45="Renta")+(Objetivos!$C$26:$C$45="Jubilación"))*(Objetivos!$B$26:$B$45=Objetivos!$A$21)*(B43&gt;=Objetivos!$E$26:$E$45)*(B43&lt;Objetivos!$E$26:$E$45+Objetivos!$H$26:$H$45)*Objetivos!$G$26:$G$45)*12*(1+Objetivos!$B$6)^B43-T43)</f>
        <v>0</v>
      </c>
    </row>
    <row r="44">
      <c r="A44" s="144">
        <f>Objetivos!$B$5+B44</f>
        <v>2065</v>
      </c>
      <c r="B44" s="145" t="n">
        <v>39</v>
      </c>
      <c r="C44" s="126">
        <f>H44+N44+T44</f>
        <v>1156130.37279085</v>
      </c>
      <c r="D44" s="126">
        <f>(H44-MAX(0,H44-I44)*Objetivos!$B$7)+(N44-MAX(0,N44-O44)*Objetivos!$B$7)+(T44-MAX(0,T44-U44)*Objetivos!$B$7)</f>
        <v>983998.845340748</v>
      </c>
      <c r="E44" s="146">
        <f>G44+M44+S44</f>
        <v>0</v>
      </c>
      <c r="F44" s="147">
        <f>J44+P44+V44</f>
        <v>29863.1490318494</v>
      </c>
      <c r="G44" s="148">
        <f>IF(B44&gt;=Objetivos!$B$11,0,IF(B44=1,Objetivos!$E$19*12+Objetivos!$C$19+Objetivos!$D$19,Objetivos!$E$19*12*(1+Objetivos!$B$9)^(B44-1)))</f>
        <v>0</v>
      </c>
      <c r="H44" s="149">
        <f>MAX(0,(H43-K43)*(1+Objetivos!$B$19)+G44)</f>
        <v>282653.883240068</v>
      </c>
      <c r="I44" s="148">
        <f>MAX(0,I43-IF(H43=0,0,J43*I43/H43)+G44)</f>
        <v>143994.109707777</v>
      </c>
      <c r="J44" s="150">
        <f>MIN(H44,SUMIFS(Objetivos!$I$26:$I$45,Objetivos!$E$26:$E$45,B44,Objetivos!$C$26:$C$45,"Único",Objetivos!$B$26:$B$45,Objetivos!$A$19)+SUMPRODUCT(((Objetivos!$C$26:$C$45="Renta")+(Objetivos!$C$26:$C$45="Jubilación"))*(Objetivos!$B$26:$B$45=Objetivos!$A$19)*(B44&gt;=Objetivos!$E$26:$E$45)*(B44&lt;Objetivos!$E$26:$E$45+Objetivos!$H$26:$H$45)*Objetivos!$G$26:$G$45)*12*(1+Objetivos!$B$6)^B44)</f>
        <v>0</v>
      </c>
      <c r="K44" s="148">
        <f>J44+IF(H44=0,0,J44*MAX(0,H44-I44)/H44)*Objetivos!$B$7</f>
        <v>0</v>
      </c>
      <c r="L44" s="151">
        <f>MAX(0,SUMIFS(Objetivos!$I$26:$I$45,Objetivos!$E$26:$E$45,B44,Objetivos!$C$26:$C$45,"Único",Objetivos!$B$26:$B$45,Objetivos!$A$19)+SUMPRODUCT(((Objetivos!$C$26:$C$45="Renta")+(Objetivos!$C$26:$C$45="Jubilación"))*(Objetivos!$B$26:$B$45=Objetivos!$A$19)*(B44&gt;=Objetivos!$E$26:$E$45)*(B44&lt;Objetivos!$E$26:$E$45+Objetivos!$H$26:$H$45)*Objetivos!$G$26:$G$45)*12*(1+Objetivos!$B$6)^B44-H44)</f>
        <v>0</v>
      </c>
      <c r="M44" s="148">
        <f>IF(B44&gt;=Objetivos!$B$11,0,IF(B44=1,Objetivos!$E$20*12+Objetivos!$C$20+Objetivos!$D$20,Objetivos!$E$20*12*(1+Objetivos!$B$9)^(B44-1)))</f>
        <v>0</v>
      </c>
      <c r="N44" s="149">
        <f>MAX(0,(N43-Q43)*(1+Objetivos!$B$20)+M44)</f>
        <v>646720.301088551</v>
      </c>
      <c r="O44" s="148">
        <f>MAX(0,O43-IF(N43=0,0,P43*O43/N43)+M44)</f>
        <v>162146.112962623</v>
      </c>
      <c r="P44" s="150">
        <f>MIN(N44,SUMIFS(Objetivos!$I$26:$I$45,Objetivos!$E$26:$E$45,B44,Objetivos!$C$26:$C$45,"Único",Objetivos!$B$26:$B$45,Objetivos!$A$20)+SUMPRODUCT(((Objetivos!$C$26:$C$45="Renta")+(Objetivos!$C$26:$C$45="Jubilación"))*(Objetivos!$B$26:$B$45=Objetivos!$A$20)*(B44&gt;=Objetivos!$E$26:$E$45)*(B44&lt;Objetivos!$E$26:$E$45+Objetivos!$H$26:$H$45)*Objetivos!$G$26:$G$45)*12*(1+Objetivos!$B$6)^B44)</f>
        <v>22004.4256024153</v>
      </c>
      <c r="Q44" s="148">
        <f>P44+IF(N44=0,0,P44*MAX(0,N44-O44)/N44)*Objetivos!$B$7</f>
        <v>25631.6673385638</v>
      </c>
      <c r="R44" s="151">
        <f>MAX(0,SUMIFS(Objetivos!$I$26:$I$45,Objetivos!$E$26:$E$45,B44,Objetivos!$C$26:$C$45,"Único",Objetivos!$B$26:$B$45,Objetivos!$A$20)+SUMPRODUCT(((Objetivos!$C$26:$C$45="Renta")+(Objetivos!$C$26:$C$45="Jubilación"))*(Objetivos!$B$26:$B$45=Objetivos!$A$20)*(B44&gt;=Objetivos!$E$26:$E$45)*(B44&lt;Objetivos!$E$26:$E$45+Objetivos!$H$26:$H$45)*Objetivos!$G$26:$G$45)*12*(1+Objetivos!$B$6)^B44-N44)</f>
        <v>0</v>
      </c>
      <c r="S44" s="148">
        <f>IF(B44&gt;=Objetivos!$B$11,0,IF(B44=1,Objetivos!$E$21*12+Objetivos!$C$21+Objetivos!$D$21,Objetivos!$E$21*12*(1+Objetivos!$B$9)^(B44-1)))</f>
        <v>0</v>
      </c>
      <c r="T44" s="149">
        <f>MAX(0,(T43-W43)*(1+Objetivos!$B$21)+S44)</f>
        <v>226756.188462227</v>
      </c>
      <c r="U44" s="148">
        <f>MAX(0,U43-IF(T43=0,0,V43*U43/T43)+S44)</f>
        <v>67574.116256363</v>
      </c>
      <c r="V44" s="150">
        <f>MIN(T44,SUMIFS(Objetivos!$I$26:$I$45,Objetivos!$E$26:$E$45,B44,Objetivos!$C$26:$C$45,"Único",Objetivos!$B$26:$B$45,Objetivos!$A$21)+SUMPRODUCT(((Objetivos!$C$26:$C$45="Renta")+(Objetivos!$C$26:$C$45="Jubilación"))*(Objetivos!$B$26:$B$45=Objetivos!$A$21)*(B44&gt;=Objetivos!$E$26:$E$45)*(B44&lt;Objetivos!$E$26:$E$45+Objetivos!$H$26:$H$45)*Objetivos!$G$26:$G$45)*12*(1+Objetivos!$B$6)^B44)</f>
        <v>7858.72342943404</v>
      </c>
      <c r="W44" s="148">
        <f>V44+IF(T44=0,0,V44*MAX(0,T44-U44)/T44)*Objetivos!$B$7</f>
        <v>9072.4187889839</v>
      </c>
      <c r="X44" s="151">
        <f>MAX(0,SUMIFS(Objetivos!$I$26:$I$45,Objetivos!$E$26:$E$45,B44,Objetivos!$C$26:$C$45,"Único",Objetivos!$B$26:$B$45,Objetivos!$A$21)+SUMPRODUCT(((Objetivos!$C$26:$C$45="Renta")+(Objetivos!$C$26:$C$45="Jubilación"))*(Objetivos!$B$26:$B$45=Objetivos!$A$21)*(B44&gt;=Objetivos!$E$26:$E$45)*(B44&lt;Objetivos!$E$26:$E$45+Objetivos!$H$26:$H$45)*Objetivos!$G$26:$G$45)*12*(1+Objetivos!$B$6)^B44-T44)</f>
        <v>0</v>
      </c>
    </row>
    <row r="45">
      <c r="A45" s="152">
        <f>Objetivos!$B$5+B45</f>
        <v>2066</v>
      </c>
      <c r="B45" s="153" t="n">
        <v>40</v>
      </c>
      <c r="C45" s="154">
        <f>H45+N45+T45</f>
        <v>1179468.67908536</v>
      </c>
      <c r="D45" s="154">
        <f>(H45-MAX(0,H45-I45)*Objetivos!$B$7)+(N45-MAX(0,N45-O45)*Objetivos!$B$7)+(T45-MAX(0,T45-U45)*Objetivos!$B$7)</f>
        <v>1000473.76855916</v>
      </c>
      <c r="E45" s="155">
        <f>G45+M45+S45</f>
        <v>0</v>
      </c>
      <c r="F45" s="156">
        <f>J45+P45+V45</f>
        <v>30609.7277576456</v>
      </c>
      <c r="G45" s="157">
        <f>IF(B45&gt;=Objetivos!$B$11,0,IF(B45=1,Objetivos!$E$19*12+Objetivos!$C$19+Objetivos!$D$19,Objetivos!$E$19*12*(1+Objetivos!$B$9)^(B45-1)))</f>
        <v>0</v>
      </c>
      <c r="H45" s="158">
        <f>MAX(0,(H44-K44)*(1+Objetivos!$B$19)+G45)</f>
        <v>292546.769153471</v>
      </c>
      <c r="I45" s="157">
        <f>MAX(0,I44-IF(H44=0,0,J44*I44/H44)+G45)</f>
        <v>143994.109707777</v>
      </c>
      <c r="J45" s="159">
        <f>MIN(H45,SUMIFS(Objetivos!$I$26:$I$45,Objetivos!$E$26:$E$45,B45,Objetivos!$C$26:$C$45,"Único",Objetivos!$B$26:$B$45,Objetivos!$A$19)+SUMPRODUCT(((Objetivos!$C$26:$C$45="Renta")+(Objetivos!$C$26:$C$45="Jubilación"))*(Objetivos!$B$26:$B$45=Objetivos!$A$19)*(B45&gt;=Objetivos!$E$26:$E$45)*(B45&lt;Objetivos!$E$26:$E$45+Objetivos!$H$26:$H$45)*Objetivos!$G$26:$G$45)*12*(1+Objetivos!$B$6)^B45)</f>
        <v>0</v>
      </c>
      <c r="K45" s="157">
        <f>J45+IF(H45=0,0,J45*MAX(0,H45-I45)/H45)*Objetivos!$B$7</f>
        <v>0</v>
      </c>
      <c r="L45" s="160">
        <f>MAX(0,SUMIFS(Objetivos!$I$26:$I$45,Objetivos!$E$26:$E$45,B45,Objetivos!$C$26:$C$45,"Único",Objetivos!$B$26:$B$45,Objetivos!$A$19)+SUMPRODUCT(((Objetivos!$C$26:$C$45="Renta")+(Objetivos!$C$26:$C$45="Jubilación"))*(Objetivos!$B$26:$B$45=Objetivos!$A$19)*(B45&gt;=Objetivos!$E$26:$E$45)*(B45&lt;Objetivos!$E$26:$E$45+Objetivos!$H$26:$H$45)*Objetivos!$G$26:$G$45)*12*(1+Objetivos!$B$6)^B45-H45)</f>
        <v>0</v>
      </c>
      <c r="M45" s="157">
        <f>IF(B45&gt;=Objetivos!$B$11,0,IF(B45=1,Objetivos!$E$20*12+Objetivos!$C$20+Objetivos!$D$20,Objetivos!$E$20*12*(1+Objetivos!$B$9)^(B45-1)))</f>
        <v>0</v>
      </c>
      <c r="N45" s="158">
        <f>MAX(0,(N44-Q44)*(1+Objetivos!$B$20)+M45)</f>
        <v>658353.951774987</v>
      </c>
      <c r="O45" s="157">
        <f>MAX(0,O44-IF(N44=0,0,P44*O44/N44)+M45)</f>
        <v>156629.149797246</v>
      </c>
      <c r="P45" s="159">
        <f>MIN(N45,SUMIFS(Objetivos!$I$26:$I$45,Objetivos!$E$26:$E$45,B45,Objetivos!$C$26:$C$45,"Único",Objetivos!$B$26:$B$45,Objetivos!$A$20)+SUMPRODUCT(((Objetivos!$C$26:$C$45="Renta")+(Objetivos!$C$26:$C$45="Jubilación"))*(Objetivos!$B$26:$B$45=Objetivos!$A$20)*(B45&gt;=Objetivos!$E$26:$E$45)*(B45&lt;Objetivos!$E$26:$E$45+Objetivos!$H$26:$H$45)*Objetivos!$G$26:$G$45)*12*(1+Objetivos!$B$6)^B45)</f>
        <v>22554.5362424757</v>
      </c>
      <c r="Q45" s="157">
        <f>P45+IF(N45=0,0,P45*MAX(0,N45-O45)/N45)*Objetivos!$B$7</f>
        <v>26336.0240635455</v>
      </c>
      <c r="R45" s="160">
        <f>MAX(0,SUMIFS(Objetivos!$I$26:$I$45,Objetivos!$E$26:$E$45,B45,Objetivos!$C$26:$C$45,"Único",Objetivos!$B$26:$B$45,Objetivos!$A$20)+SUMPRODUCT(((Objetivos!$C$26:$C$45="Renta")+(Objetivos!$C$26:$C$45="Jubilación"))*(Objetivos!$B$26:$B$45=Objetivos!$A$20)*(B45&gt;=Objetivos!$E$26:$E$45)*(B45&lt;Objetivos!$E$26:$E$45+Objetivos!$H$26:$H$45)*Objetivos!$G$26:$G$45)*12*(1+Objetivos!$B$6)^B45-N45)</f>
        <v>0</v>
      </c>
      <c r="S45" s="157">
        <f>IF(B45&gt;=Objetivos!$B$11,0,IF(B45=1,Objetivos!$E$21*12+Objetivos!$C$21+Objetivos!$D$21,Objetivos!$E$21*12*(1+Objetivos!$B$9)^(B45-1)))</f>
        <v>0</v>
      </c>
      <c r="T45" s="158">
        <f>MAX(0,(T44-W44)*(1+Objetivos!$B$21)+S45)</f>
        <v>228567.958156905</v>
      </c>
      <c r="U45" s="157">
        <f>MAX(0,U44-IF(T44=0,0,V44*U44/T44)+S45)</f>
        <v>65232.189915792</v>
      </c>
      <c r="V45" s="159">
        <f>MIN(T45,SUMIFS(Objetivos!$I$26:$I$45,Objetivos!$E$26:$E$45,B45,Objetivos!$C$26:$C$45,"Único",Objetivos!$B$26:$B$45,Objetivos!$A$21)+SUMPRODUCT(((Objetivos!$C$26:$C$45="Renta")+(Objetivos!$C$26:$C$45="Jubilación"))*(Objetivos!$B$26:$B$45=Objetivos!$A$21)*(B45&gt;=Objetivos!$E$26:$E$45)*(B45&lt;Objetivos!$E$26:$E$45+Objetivos!$H$26:$H$45)*Objetivos!$G$26:$G$45)*12*(1+Objetivos!$B$6)^B45)</f>
        <v>8055.19151516989</v>
      </c>
      <c r="W45" s="157">
        <f>V45+IF(T45=0,0,V45*MAX(0,T45-U45)/T45)*Objetivos!$B$7</f>
        <v>9321.57285363556</v>
      </c>
      <c r="X45" s="160">
        <f>MAX(0,SUMIFS(Objetivos!$I$26:$I$45,Objetivos!$E$26:$E$45,B45,Objetivos!$C$26:$C$45,"Único",Objetivos!$B$26:$B$45,Objetivos!$A$21)+SUMPRODUCT(((Objetivos!$C$26:$C$45="Renta")+(Objetivos!$C$26:$C$45="Jubilación"))*(Objetivos!$B$26:$B$45=Objetivos!$A$21)*(B45&gt;=Objetivos!$E$26:$E$45)*(B45&lt;Objetivos!$E$26:$E$45+Objetivos!$H$26:$H$45)*Objetivos!$G$26:$G$45)*12*(1+Objetivos!$B$6)^B45-T45)</f>
        <v>0</v>
      </c>
    </row>
    <row r="46">
      <c r="A46" s="144">
        <f>Objetivos!$B$5+B46</f>
        <v>2067</v>
      </c>
      <c r="B46" s="145" t="n">
        <v>41</v>
      </c>
      <c r="C46" s="126">
        <f>H46+N46+T46</f>
        <v>1202933.6140164</v>
      </c>
      <c r="D46" s="126">
        <f>(H46-MAX(0,H46-I46)*Objetivos!$B$7)+(N46-MAX(0,N46-O46)*Objetivos!$B$7)+(T46-MAX(0,T46-U46)*Objetivos!$B$7)</f>
        <v>1017090.14685823</v>
      </c>
      <c r="E46" s="146">
        <f>G46+M46+S46</f>
        <v>0</v>
      </c>
      <c r="F46" s="147">
        <f>J46+P46+V46</f>
        <v>31374.9709515867</v>
      </c>
      <c r="G46" s="148">
        <f>IF(B46&gt;=Objetivos!$B$11,0,IF(B46=1,Objetivos!$E$19*12+Objetivos!$C$19+Objetivos!$D$19,Objetivos!$E$19*12*(1+Objetivos!$B$9)^(B46-1)))</f>
        <v>0</v>
      </c>
      <c r="H46" s="149">
        <f>MAX(0,(H45-K45)*(1+Objetivos!$B$19)+G46)</f>
        <v>302785.906073842</v>
      </c>
      <c r="I46" s="148">
        <f>MAX(0,I45-IF(H45=0,0,J45*I45/H45)+G46)</f>
        <v>143994.109707777</v>
      </c>
      <c r="J46" s="150">
        <f>MIN(H46,SUMIFS(Objetivos!$I$26:$I$45,Objetivos!$E$26:$E$45,B46,Objetivos!$C$26:$C$45,"Único",Objetivos!$B$26:$B$45,Objetivos!$A$19)+SUMPRODUCT(((Objetivos!$C$26:$C$45="Renta")+(Objetivos!$C$26:$C$45="Jubilación"))*(Objetivos!$B$26:$B$45=Objetivos!$A$19)*(B46&gt;=Objetivos!$E$26:$E$45)*(B46&lt;Objetivos!$E$26:$E$45+Objetivos!$H$26:$H$45)*Objetivos!$G$26:$G$45)*12*(1+Objetivos!$B$6)^B46)</f>
        <v>0</v>
      </c>
      <c r="K46" s="148">
        <f>J46+IF(H46=0,0,J46*MAX(0,H46-I46)/H46)*Objetivos!$B$7</f>
        <v>0</v>
      </c>
      <c r="L46" s="151">
        <f>MAX(0,SUMIFS(Objetivos!$I$26:$I$45,Objetivos!$E$26:$E$45,B46,Objetivos!$C$26:$C$45,"Único",Objetivos!$B$26:$B$45,Objetivos!$A$19)+SUMPRODUCT(((Objetivos!$C$26:$C$45="Renta")+(Objetivos!$C$26:$C$45="Jubilación"))*(Objetivos!$B$26:$B$45=Objetivos!$A$19)*(B46&gt;=Objetivos!$E$26:$E$45)*(B46&lt;Objetivos!$E$26:$E$45+Objetivos!$H$26:$H$45)*Objetivos!$G$26:$G$45)*12*(1+Objetivos!$B$6)^B46-H46)</f>
        <v>0</v>
      </c>
      <c r="M46" s="148">
        <f>IF(B46&gt;=Objetivos!$B$11,0,IF(B46=1,Objetivos!$E$20*12+Objetivos!$C$20+Objetivos!$D$20,Objetivos!$E$20*12*(1+Objetivos!$B$9)^(B46-1)))</f>
        <v>0</v>
      </c>
      <c r="N46" s="149">
        <f>MAX(0,(N45-Q45)*(1+Objetivos!$B$20)+M46)</f>
        <v>669939.003374128</v>
      </c>
      <c r="O46" s="148">
        <f>MAX(0,O45-IF(N45=0,0,P45*O45/N45)+M46)</f>
        <v>151263.194559633</v>
      </c>
      <c r="P46" s="150">
        <f>MIN(N46,SUMIFS(Objetivos!$I$26:$I$45,Objetivos!$E$26:$E$45,B46,Objetivos!$C$26:$C$45,"Único",Objetivos!$B$26:$B$45,Objetivos!$A$20)+SUMPRODUCT(((Objetivos!$C$26:$C$45="Renta")+(Objetivos!$C$26:$C$45="Jubilación"))*(Objetivos!$B$26:$B$45=Objetivos!$A$20)*(B46&gt;=Objetivos!$E$26:$E$45)*(B46&lt;Objetivos!$E$26:$E$45+Objetivos!$H$26:$H$45)*Objetivos!$G$26:$G$45)*12*(1+Objetivos!$B$6)^B46)</f>
        <v>23118.3996485376</v>
      </c>
      <c r="Q46" s="148">
        <f>P46+IF(N46=0,0,P46*MAX(0,N46-O46)/N46)*Objetivos!$B$7</f>
        <v>27056.0865225338</v>
      </c>
      <c r="R46" s="151">
        <f>MAX(0,SUMIFS(Objetivos!$I$26:$I$45,Objetivos!$E$26:$E$45,B46,Objetivos!$C$26:$C$45,"Único",Objetivos!$B$26:$B$45,Objetivos!$A$20)+SUMPRODUCT(((Objetivos!$C$26:$C$45="Renta")+(Objetivos!$C$26:$C$45="Jubilación"))*(Objetivos!$B$26:$B$45=Objetivos!$A$20)*(B46&gt;=Objetivos!$E$26:$E$45)*(B46&lt;Objetivos!$E$26:$E$45+Objetivos!$H$26:$H$45)*Objetivos!$G$26:$G$45)*12*(1+Objetivos!$B$6)^B46-N46)</f>
        <v>0</v>
      </c>
      <c r="S46" s="148">
        <f>IF(B46&gt;=Objetivos!$B$11,0,IF(B46=1,Objetivos!$E$21*12+Objetivos!$C$21+Objetivos!$D$21,Objetivos!$E$21*12*(1+Objetivos!$B$9)^(B46-1)))</f>
        <v>0</v>
      </c>
      <c r="T46" s="149">
        <f>MAX(0,(T45-W45)*(1+Objetivos!$B$21)+S46)</f>
        <v>230208.704568433</v>
      </c>
      <c r="U46" s="148">
        <f>MAX(0,U45-IF(T45=0,0,V45*U45/T45)+S46)</f>
        <v>62933.2772118297</v>
      </c>
      <c r="V46" s="150">
        <f>MIN(T46,SUMIFS(Objetivos!$I$26:$I$45,Objetivos!$E$26:$E$45,B46,Objetivos!$C$26:$C$45,"Único",Objetivos!$B$26:$B$45,Objetivos!$A$21)+SUMPRODUCT(((Objetivos!$C$26:$C$45="Renta")+(Objetivos!$C$26:$C$45="Jubilación"))*(Objetivos!$B$26:$B$45=Objetivos!$A$21)*(B46&gt;=Objetivos!$E$26:$E$45)*(B46&lt;Objetivos!$E$26:$E$45+Objetivos!$H$26:$H$45)*Objetivos!$G$26:$G$45)*12*(1+Objetivos!$B$6)^B46)</f>
        <v>8256.57130304914</v>
      </c>
      <c r="W46" s="148">
        <f>V46+IF(T46=0,0,V46*MAX(0,T46-U46)/T46)*Objetivos!$B$7</f>
        <v>9576.44636632067</v>
      </c>
      <c r="X46" s="151">
        <f>MAX(0,SUMIFS(Objetivos!$I$26:$I$45,Objetivos!$E$26:$E$45,B46,Objetivos!$C$26:$C$45,"Único",Objetivos!$B$26:$B$45,Objetivos!$A$21)+SUMPRODUCT(((Objetivos!$C$26:$C$45="Renta")+(Objetivos!$C$26:$C$45="Jubilación"))*(Objetivos!$B$26:$B$45=Objetivos!$A$21)*(B46&gt;=Objetivos!$E$26:$E$45)*(B46&lt;Objetivos!$E$26:$E$45+Objetivos!$H$26:$H$45)*Objetivos!$G$26:$G$45)*12*(1+Objetivos!$B$6)^B46-T46)</f>
        <v>0</v>
      </c>
    </row>
    <row r="47">
      <c r="A47" s="152">
        <f>Objetivos!$B$5+B47</f>
        <v>2068</v>
      </c>
      <c r="B47" s="153" t="n">
        <v>42</v>
      </c>
      <c r="C47" s="154">
        <f>H47+N47+T47</f>
        <v>1226503.17576133</v>
      </c>
      <c r="D47" s="154">
        <f>(H47-MAX(0,H47-I47)*Objetivos!$B$7)+(N47-MAX(0,N47-O47)*Objetivos!$B$7)+(T47-MAX(0,T47-U47)*Objetivos!$B$7)</f>
        <v>1033829.47334719</v>
      </c>
      <c r="E47" s="155">
        <f>G47+M47+S47</f>
        <v>0</v>
      </c>
      <c r="F47" s="156">
        <f>J47+P47+V47</f>
        <v>32159.3452253764</v>
      </c>
      <c r="G47" s="157">
        <f>IF(B47&gt;=Objetivos!$B$11,0,IF(B47=1,Objetivos!$E$19*12+Objetivos!$C$19+Objetivos!$D$19,Objetivos!$E$19*12*(1+Objetivos!$B$9)^(B47-1)))</f>
        <v>0</v>
      </c>
      <c r="H47" s="158">
        <f>MAX(0,(H46-K46)*(1+Objetivos!$B$19)+G47)</f>
        <v>313383.412786427</v>
      </c>
      <c r="I47" s="157">
        <f>MAX(0,I46-IF(H46=0,0,J46*I46/H46)+G47)</f>
        <v>143994.109707777</v>
      </c>
      <c r="J47" s="159">
        <f>MIN(H47,SUMIFS(Objetivos!$I$26:$I$45,Objetivos!$E$26:$E$45,B47,Objetivos!$C$26:$C$45,"Único",Objetivos!$B$26:$B$45,Objetivos!$A$19)+SUMPRODUCT(((Objetivos!$C$26:$C$45="Renta")+(Objetivos!$C$26:$C$45="Jubilación"))*(Objetivos!$B$26:$B$45=Objetivos!$A$19)*(B47&gt;=Objetivos!$E$26:$E$45)*(B47&lt;Objetivos!$E$26:$E$45+Objetivos!$H$26:$H$45)*Objetivos!$G$26:$G$45)*12*(1+Objetivos!$B$6)^B47)</f>
        <v>0</v>
      </c>
      <c r="K47" s="157">
        <f>J47+IF(H47=0,0,J47*MAX(0,H47-I47)/H47)*Objetivos!$B$7</f>
        <v>0</v>
      </c>
      <c r="L47" s="160">
        <f>MAX(0,SUMIFS(Objetivos!$I$26:$I$45,Objetivos!$E$26:$E$45,B47,Objetivos!$C$26:$C$45,"Único",Objetivos!$B$26:$B$45,Objetivos!$A$19)+SUMPRODUCT(((Objetivos!$C$26:$C$45="Renta")+(Objetivos!$C$26:$C$45="Jubilación"))*(Objetivos!$B$26:$B$45=Objetivos!$A$19)*(B47&gt;=Objetivos!$E$26:$E$45)*(B47&lt;Objetivos!$E$26:$E$45+Objetivos!$H$26:$H$45)*Objetivos!$G$26:$G$45)*12*(1+Objetivos!$B$6)^B47-H47)</f>
        <v>0</v>
      </c>
      <c r="M47" s="157">
        <f>IF(B47&gt;=Objetivos!$B$11,0,IF(B47=1,Objetivos!$E$20*12+Objetivos!$C$20+Objetivos!$D$20,Objetivos!$E$20*12*(1+Objetivos!$B$9)^(B47-1)))</f>
        <v>0</v>
      </c>
      <c r="N47" s="158">
        <f>MAX(0,(N46-Q46)*(1+Objetivos!$B$20)+M47)</f>
        <v>681455.891862689</v>
      </c>
      <c r="O47" s="157">
        <f>MAX(0,O46-IF(N46=0,0,P46*O46/N46)+M47)</f>
        <v>146043.371611078</v>
      </c>
      <c r="P47" s="159">
        <f>MIN(N47,SUMIFS(Objetivos!$I$26:$I$45,Objetivos!$E$26:$E$45,B47,Objetivos!$C$26:$C$45,"Único",Objetivos!$B$26:$B$45,Objetivos!$A$20)+SUMPRODUCT(((Objetivos!$C$26:$C$45="Renta")+(Objetivos!$C$26:$C$45="Jubilación"))*(Objetivos!$B$26:$B$45=Objetivos!$A$20)*(B47&gt;=Objetivos!$E$26:$E$45)*(B47&lt;Objetivos!$E$26:$E$45+Objetivos!$H$26:$H$45)*Objetivos!$G$26:$G$45)*12*(1+Objetivos!$B$6)^B47)</f>
        <v>23696.359639751</v>
      </c>
      <c r="Q47" s="157">
        <f>P47+IF(N47=0,0,P47*MAX(0,N47-O47)/N47)*Objetivos!$B$7</f>
        <v>27792.31377727</v>
      </c>
      <c r="R47" s="160">
        <f>MAX(0,SUMIFS(Objetivos!$I$26:$I$45,Objetivos!$E$26:$E$45,B47,Objetivos!$C$26:$C$45,"Único",Objetivos!$B$26:$B$45,Objetivos!$A$20)+SUMPRODUCT(((Objetivos!$C$26:$C$45="Renta")+(Objetivos!$C$26:$C$45="Jubilación"))*(Objetivos!$B$26:$B$45=Objetivos!$A$20)*(B47&gt;=Objetivos!$E$26:$E$45)*(B47&lt;Objetivos!$E$26:$E$45+Objetivos!$H$26:$H$45)*Objetivos!$G$26:$G$45)*12*(1+Objetivos!$B$6)^B47-N47)</f>
        <v>0</v>
      </c>
      <c r="S47" s="157">
        <f>IF(B47&gt;=Objetivos!$B$11,0,IF(B47=1,Objetivos!$E$21*12+Objetivos!$C$21+Objetivos!$D$21,Objetivos!$E$21*12*(1+Objetivos!$B$9)^(B47-1)))</f>
        <v>0</v>
      </c>
      <c r="T47" s="158">
        <f>MAX(0,(T46-W46)*(1+Objetivos!$B$21)+S47)</f>
        <v>231663.871112218</v>
      </c>
      <c r="U47" s="157">
        <f>MAX(0,U46-IF(T46=0,0,V46*U46/T46)+S47)</f>
        <v>60676.1380145602</v>
      </c>
      <c r="V47" s="159">
        <f>MIN(T47,SUMIFS(Objetivos!$I$26:$I$45,Objetivos!$E$26:$E$45,B47,Objetivos!$C$26:$C$45,"Único",Objetivos!$B$26:$B$45,Objetivos!$A$21)+SUMPRODUCT(((Objetivos!$C$26:$C$45="Renta")+(Objetivos!$C$26:$C$45="Jubilación"))*(Objetivos!$B$26:$B$45=Objetivos!$A$21)*(B47&gt;=Objetivos!$E$26:$E$45)*(B47&lt;Objetivos!$E$26:$E$45+Objetivos!$H$26:$H$45)*Objetivos!$G$26:$G$45)*12*(1+Objetivos!$B$6)^B47)</f>
        <v>8462.98558562536</v>
      </c>
      <c r="W47" s="157">
        <f>V47+IF(T47=0,0,V47*MAX(0,T47-U47)/T47)*Objetivos!$B$7</f>
        <v>9837.19502530584</v>
      </c>
      <c r="X47" s="160">
        <f>MAX(0,SUMIFS(Objetivos!$I$26:$I$45,Objetivos!$E$26:$E$45,B47,Objetivos!$C$26:$C$45,"Único",Objetivos!$B$26:$B$45,Objetivos!$A$21)+SUMPRODUCT(((Objetivos!$C$26:$C$45="Renta")+(Objetivos!$C$26:$C$45="Jubilación"))*(Objetivos!$B$26:$B$45=Objetivos!$A$21)*(B47&gt;=Objetivos!$E$26:$E$45)*(B47&lt;Objetivos!$E$26:$E$45+Objetivos!$H$26:$H$45)*Objetivos!$G$26:$G$45)*12*(1+Objetivos!$B$6)^B47-T47)</f>
        <v>0</v>
      </c>
    </row>
    <row r="48">
      <c r="A48" s="144">
        <f>Objetivos!$B$5+B48</f>
        <v>2069</v>
      </c>
      <c r="B48" s="145" t="n">
        <v>43</v>
      </c>
      <c r="C48" s="126">
        <f>H48+N48+T48</f>
        <v>1250153.23489575</v>
      </c>
      <c r="D48" s="126">
        <f>(H48-MAX(0,H48-I48)*Objetivos!$B$7)+(N48-MAX(0,N48-O48)*Objetivos!$B$7)+(T48-MAX(0,T48-U48)*Objetivos!$B$7)</f>
        <v>1050671.62709966</v>
      </c>
      <c r="E48" s="146">
        <f>G48+M48+S48</f>
        <v>0</v>
      </c>
      <c r="F48" s="147">
        <f>J48+P48+V48</f>
        <v>32963.3288560108</v>
      </c>
      <c r="G48" s="148">
        <f>IF(B48&gt;=Objetivos!$B$11,0,IF(B48=1,Objetivos!$E$19*12+Objetivos!$C$19+Objetivos!$D$19,Objetivos!$E$19*12*(1+Objetivos!$B$9)^(B48-1)))</f>
        <v>0</v>
      </c>
      <c r="H48" s="149">
        <f>MAX(0,(H47-K47)*(1+Objetivos!$B$19)+G48)</f>
        <v>324351.832233952</v>
      </c>
      <c r="I48" s="148">
        <f>MAX(0,I47-IF(H47=0,0,J47*I47/H47)+G48)</f>
        <v>143994.109707777</v>
      </c>
      <c r="J48" s="150">
        <f>MIN(H48,SUMIFS(Objetivos!$I$26:$I$45,Objetivos!$E$26:$E$45,B48,Objetivos!$C$26:$C$45,"Único",Objetivos!$B$26:$B$45,Objetivos!$A$19)+SUMPRODUCT(((Objetivos!$C$26:$C$45="Renta")+(Objetivos!$C$26:$C$45="Jubilación"))*(Objetivos!$B$26:$B$45=Objetivos!$A$19)*(B48&gt;=Objetivos!$E$26:$E$45)*(B48&lt;Objetivos!$E$26:$E$45+Objetivos!$H$26:$H$45)*Objetivos!$G$26:$G$45)*12*(1+Objetivos!$B$6)^B48)</f>
        <v>0</v>
      </c>
      <c r="K48" s="148">
        <f>J48+IF(H48=0,0,J48*MAX(0,H48-I48)/H48)*Objetivos!$B$7</f>
        <v>0</v>
      </c>
      <c r="L48" s="151">
        <f>MAX(0,SUMIFS(Objetivos!$I$26:$I$45,Objetivos!$E$26:$E$45,B48,Objetivos!$C$26:$C$45,"Único",Objetivos!$B$26:$B$45,Objetivos!$A$19)+SUMPRODUCT(((Objetivos!$C$26:$C$45="Renta")+(Objetivos!$C$26:$C$45="Jubilación"))*(Objetivos!$B$26:$B$45=Objetivos!$A$19)*(B48&gt;=Objetivos!$E$26:$E$45)*(B48&lt;Objetivos!$E$26:$E$45+Objetivos!$H$26:$H$45)*Objetivos!$G$26:$G$45)*12*(1+Objetivos!$B$6)^B48-H48)</f>
        <v>0</v>
      </c>
      <c r="M48" s="148">
        <f>IF(B48&gt;=Objetivos!$B$11,0,IF(B48=1,Objetivos!$E$20*12+Objetivos!$C$20+Objetivos!$D$20,Objetivos!$E$20*12*(1+Objetivos!$B$9)^(B48-1)))</f>
        <v>0</v>
      </c>
      <c r="N48" s="149">
        <f>MAX(0,(N47-Q47)*(1+Objetivos!$B$20)+M48)</f>
        <v>692883.392770545</v>
      </c>
      <c r="O48" s="148">
        <f>MAX(0,O47-IF(N47=0,0,P47*O47/N47)+M48)</f>
        <v>140964.985323686</v>
      </c>
      <c r="P48" s="150">
        <f>MIN(N48,SUMIFS(Objetivos!$I$26:$I$45,Objetivos!$E$26:$E$45,B48,Objetivos!$C$26:$C$45,"Único",Objetivos!$B$26:$B$45,Objetivos!$A$20)+SUMPRODUCT(((Objetivos!$C$26:$C$45="Renta")+(Objetivos!$C$26:$C$45="Jubilación"))*(Objetivos!$B$26:$B$45=Objetivos!$A$20)*(B48&gt;=Objetivos!$E$26:$E$45)*(B48&lt;Objetivos!$E$26:$E$45+Objetivos!$H$26:$H$45)*Objetivos!$G$26:$G$45)*12*(1+Objetivos!$B$6)^B48)</f>
        <v>24288.7686307448</v>
      </c>
      <c r="Q48" s="148">
        <f>P48+IF(N48=0,0,P48*MAX(0,N48-O48)/N48)*Objetivos!$B$7</f>
        <v>28545.1732452978</v>
      </c>
      <c r="R48" s="151">
        <f>MAX(0,SUMIFS(Objetivos!$I$26:$I$45,Objetivos!$E$26:$E$45,B48,Objetivos!$C$26:$C$45,"Único",Objetivos!$B$26:$B$45,Objetivos!$A$20)+SUMPRODUCT(((Objetivos!$C$26:$C$45="Renta")+(Objetivos!$C$26:$C$45="Jubilación"))*(Objetivos!$B$26:$B$45=Objetivos!$A$20)*(B48&gt;=Objetivos!$E$26:$E$45)*(B48&lt;Objetivos!$E$26:$E$45+Objetivos!$H$26:$H$45)*Objetivos!$G$26:$G$45)*12*(1+Objetivos!$B$6)^B48-N48)</f>
        <v>0</v>
      </c>
      <c r="S48" s="148">
        <f>IF(B48&gt;=Objetivos!$B$11,0,IF(B48=1,Objetivos!$E$21*12+Objetivos!$C$21+Objetivos!$D$21,Objetivos!$E$21*12*(1+Objetivos!$B$9)^(B48-1)))</f>
        <v>0</v>
      </c>
      <c r="T48" s="149">
        <f>MAX(0,(T47-W47)*(1+Objetivos!$B$21)+S48)</f>
        <v>232918.009891258</v>
      </c>
      <c r="U48" s="148">
        <f>MAX(0,U47-IF(T47=0,0,V47*U47/T47)+S48)</f>
        <v>58459.5589729371</v>
      </c>
      <c r="V48" s="150">
        <f>MIN(T48,SUMIFS(Objetivos!$I$26:$I$45,Objetivos!$E$26:$E$45,B48,Objetivos!$C$26:$C$45,"Único",Objetivos!$B$26:$B$45,Objetivos!$A$21)+SUMPRODUCT(((Objetivos!$C$26:$C$45="Renta")+(Objetivos!$C$26:$C$45="Jubilación"))*(Objetivos!$B$26:$B$45=Objetivos!$A$21)*(B48&gt;=Objetivos!$E$26:$E$45)*(B48&lt;Objetivos!$E$26:$E$45+Objetivos!$H$26:$H$45)*Objetivos!$G$26:$G$45)*12*(1+Objetivos!$B$6)^B48)</f>
        <v>8674.560225266</v>
      </c>
      <c r="W48" s="148">
        <f>V48+IF(T48=0,0,V48*MAX(0,T48-U48)/T48)*Objetivos!$B$7</f>
        <v>10103.9777048371</v>
      </c>
      <c r="X48" s="151">
        <f>MAX(0,SUMIFS(Objetivos!$I$26:$I$45,Objetivos!$E$26:$E$45,B48,Objetivos!$C$26:$C$45,"Único",Objetivos!$B$26:$B$45,Objetivos!$A$21)+SUMPRODUCT(((Objetivos!$C$26:$C$45="Renta")+(Objetivos!$C$26:$C$45="Jubilación"))*(Objetivos!$B$26:$B$45=Objetivos!$A$21)*(B48&gt;=Objetivos!$E$26:$E$45)*(B48&lt;Objetivos!$E$26:$E$45+Objetivos!$H$26:$H$45)*Objetivos!$G$26:$G$45)*12*(1+Objetivos!$B$6)^B48-T48)</f>
        <v>0</v>
      </c>
    </row>
    <row r="49">
      <c r="A49" s="152">
        <f>Objetivos!$B$5+B49</f>
        <v>2070</v>
      </c>
      <c r="B49" s="153" t="n">
        <v>44</v>
      </c>
      <c r="C49" s="154">
        <f>H49+N49+T49</f>
        <v>1273857.39285464</v>
      </c>
      <c r="D49" s="154">
        <f>(H49-MAX(0,H49-I49)*Objetivos!$B$7)+(N49-MAX(0,N49-O49)*Objetivos!$B$7)+(T49-MAX(0,T49-U49)*Objetivos!$B$7)</f>
        <v>1067594.76005339</v>
      </c>
      <c r="E49" s="155">
        <f>G49+M49+S49</f>
        <v>0</v>
      </c>
      <c r="F49" s="156">
        <f>J49+P49+V49</f>
        <v>33787.4120774111</v>
      </c>
      <c r="G49" s="157">
        <f>IF(B49&gt;=Objetivos!$B$11,0,IF(B49=1,Objetivos!$E$19*12+Objetivos!$C$19+Objetivos!$D$19,Objetivos!$E$19*12*(1+Objetivos!$B$9)^(B49-1)))</f>
        <v>0</v>
      </c>
      <c r="H49" s="158">
        <f>MAX(0,(H48-K48)*(1+Objetivos!$B$19)+G49)</f>
        <v>335704.14636214</v>
      </c>
      <c r="I49" s="157">
        <f>MAX(0,I48-IF(H48=0,0,J48*I48/H48)+G49)</f>
        <v>143994.109707777</v>
      </c>
      <c r="J49" s="159">
        <f>MIN(H49,SUMIFS(Objetivos!$I$26:$I$45,Objetivos!$E$26:$E$45,B49,Objetivos!$C$26:$C$45,"Único",Objetivos!$B$26:$B$45,Objetivos!$A$19)+SUMPRODUCT(((Objetivos!$C$26:$C$45="Renta")+(Objetivos!$C$26:$C$45="Jubilación"))*(Objetivos!$B$26:$B$45=Objetivos!$A$19)*(B49&gt;=Objetivos!$E$26:$E$45)*(B49&lt;Objetivos!$E$26:$E$45+Objetivos!$H$26:$H$45)*Objetivos!$G$26:$G$45)*12*(1+Objetivos!$B$6)^B49)</f>
        <v>0</v>
      </c>
      <c r="K49" s="157">
        <f>J49+IF(H49=0,0,J49*MAX(0,H49-I49)/H49)*Objetivos!$B$7</f>
        <v>0</v>
      </c>
      <c r="L49" s="160">
        <f>MAX(0,SUMIFS(Objetivos!$I$26:$I$45,Objetivos!$E$26:$E$45,B49,Objetivos!$C$26:$C$45,"Único",Objetivos!$B$26:$B$45,Objetivos!$A$19)+SUMPRODUCT(((Objetivos!$C$26:$C$45="Renta")+(Objetivos!$C$26:$C$45="Jubilación"))*(Objetivos!$B$26:$B$45=Objetivos!$A$19)*(B49&gt;=Objetivos!$E$26:$E$45)*(B49&lt;Objetivos!$E$26:$E$45+Objetivos!$H$26:$H$45)*Objetivos!$G$26:$G$45)*12*(1+Objetivos!$B$6)^B49-H49)</f>
        <v>0</v>
      </c>
      <c r="M49" s="157">
        <f>IF(B49&gt;=Objetivos!$B$11,0,IF(B49=1,Objetivos!$E$20*12+Objetivos!$C$20+Objetivos!$D$20,Objetivos!$E$20*12*(1+Objetivos!$B$9)^(B49-1)))</f>
        <v>0</v>
      </c>
      <c r="N49" s="158">
        <f>MAX(0,(N48-Q48)*(1+Objetivos!$B$20)+M49)</f>
        <v>704198.512696762</v>
      </c>
      <c r="O49" s="157">
        <f>MAX(0,O48-IF(N48=0,0,P48*O48/N48)+M49)</f>
        <v>136023.510395455</v>
      </c>
      <c r="P49" s="159">
        <f>MIN(N49,SUMIFS(Objetivos!$I$26:$I$45,Objetivos!$E$26:$E$45,B49,Objetivos!$C$26:$C$45,"Único",Objetivos!$B$26:$B$45,Objetivos!$A$20)+SUMPRODUCT(((Objetivos!$C$26:$C$45="Renta")+(Objetivos!$C$26:$C$45="Jubilación"))*(Objetivos!$B$26:$B$45=Objetivos!$A$20)*(B49&gt;=Objetivos!$E$26:$E$45)*(B49&lt;Objetivos!$E$26:$E$45+Objetivos!$H$26:$H$45)*Objetivos!$G$26:$G$45)*12*(1+Objetivos!$B$6)^B49)</f>
        <v>24895.9878465134</v>
      </c>
      <c r="Q49" s="157">
        <f>P49+IF(N49=0,0,P49*MAX(0,N49-O49)/N49)*Objetivos!$B$7</f>
        <v>29315.1411013528</v>
      </c>
      <c r="R49" s="160">
        <f>MAX(0,SUMIFS(Objetivos!$I$26:$I$45,Objetivos!$E$26:$E$45,B49,Objetivos!$C$26:$C$45,"Único",Objetivos!$B$26:$B$45,Objetivos!$A$20)+SUMPRODUCT(((Objetivos!$C$26:$C$45="Renta")+(Objetivos!$C$26:$C$45="Jubilación"))*(Objetivos!$B$26:$B$45=Objetivos!$A$20)*(B49&gt;=Objetivos!$E$26:$E$45)*(B49&lt;Objetivos!$E$26:$E$45+Objetivos!$H$26:$H$45)*Objetivos!$G$26:$G$45)*12*(1+Objetivos!$B$6)^B49-N49)</f>
        <v>0</v>
      </c>
      <c r="S49" s="157">
        <f>IF(B49&gt;=Objetivos!$B$11,0,IF(B49=1,Objetivos!$E$21*12+Objetivos!$C$21+Objetivos!$D$21,Objetivos!$E$21*12*(1+Objetivos!$B$9)^(B49-1)))</f>
        <v>0</v>
      </c>
      <c r="T49" s="158">
        <f>MAX(0,(T48-W48)*(1+Objetivos!$B$21)+S49)</f>
        <v>233954.733795742</v>
      </c>
      <c r="U49" s="157">
        <f>MAX(0,U48-IF(T48=0,0,V48*U48/T48)+S49)</f>
        <v>56282.3509275395</v>
      </c>
      <c r="V49" s="159">
        <f>MIN(T49,SUMIFS(Objetivos!$I$26:$I$45,Objetivos!$E$26:$E$45,B49,Objetivos!$C$26:$C$45,"Único",Objetivos!$B$26:$B$45,Objetivos!$A$21)+SUMPRODUCT(((Objetivos!$C$26:$C$45="Renta")+(Objetivos!$C$26:$C$45="Jubilación"))*(Objetivos!$B$26:$B$45=Objetivos!$A$21)*(B49&gt;=Objetivos!$E$26:$E$45)*(B49&lt;Objetivos!$E$26:$E$45+Objetivos!$H$26:$H$45)*Objetivos!$G$26:$G$45)*12*(1+Objetivos!$B$6)^B49)</f>
        <v>8891.42423089765</v>
      </c>
      <c r="W49" s="157">
        <f>V49+IF(T49=0,0,V49*MAX(0,T49-U49)/T49)*Objetivos!$B$7</f>
        <v>10376.9565430862</v>
      </c>
      <c r="X49" s="160">
        <f>MAX(0,SUMIFS(Objetivos!$I$26:$I$45,Objetivos!$E$26:$E$45,B49,Objetivos!$C$26:$C$45,"Único",Objetivos!$B$26:$B$45,Objetivos!$A$21)+SUMPRODUCT(((Objetivos!$C$26:$C$45="Renta")+(Objetivos!$C$26:$C$45="Jubilación"))*(Objetivos!$B$26:$B$45=Objetivos!$A$21)*(B49&gt;=Objetivos!$E$26:$E$45)*(B49&lt;Objetivos!$E$26:$E$45+Objetivos!$H$26:$H$45)*Objetivos!$G$26:$G$45)*12*(1+Objetivos!$B$6)^B49-T49)</f>
        <v>0</v>
      </c>
    </row>
    <row r="50">
      <c r="A50" s="144">
        <f>Objetivos!$B$5+B50</f>
        <v>2071</v>
      </c>
      <c r="B50" s="145" t="n">
        <v>45</v>
      </c>
      <c r="C50" s="126">
        <f>H50+N50+T50</f>
        <v>1297586.83149124</v>
      </c>
      <c r="D50" s="126">
        <f>(H50-MAX(0,H50-I50)*Objetivos!$B$7)+(N50-MAX(0,N50-O50)*Objetivos!$B$7)+(T50-MAX(0,T50-U50)*Objetivos!$B$7)</f>
        <v>1084575.17709993</v>
      </c>
      <c r="E50" s="146">
        <f>G50+M50+S50</f>
        <v>0</v>
      </c>
      <c r="F50" s="147">
        <f>J50+P50+V50</f>
        <v>34632.0973793463</v>
      </c>
      <c r="G50" s="148">
        <f>IF(B50&gt;=Objetivos!$B$11,0,IF(B50=1,Objetivos!$E$19*12+Objetivos!$C$19+Objetivos!$D$19,Objetivos!$E$19*12*(1+Objetivos!$B$9)^(B50-1)))</f>
        <v>0</v>
      </c>
      <c r="H50" s="149">
        <f>MAX(0,(H49-K49)*(1+Objetivos!$B$19)+G50)</f>
        <v>347453.791484815</v>
      </c>
      <c r="I50" s="148">
        <f>MAX(0,I49-IF(H49=0,0,J49*I49/H49)+G50)</f>
        <v>143994.109707777</v>
      </c>
      <c r="J50" s="150">
        <f>MIN(H50,SUMIFS(Objetivos!$I$26:$I$45,Objetivos!$E$26:$E$45,B50,Objetivos!$C$26:$C$45,"Único",Objetivos!$B$26:$B$45,Objetivos!$A$19)+SUMPRODUCT(((Objetivos!$C$26:$C$45="Renta")+(Objetivos!$C$26:$C$45="Jubilación"))*(Objetivos!$B$26:$B$45=Objetivos!$A$19)*(B50&gt;=Objetivos!$E$26:$E$45)*(B50&lt;Objetivos!$E$26:$E$45+Objetivos!$H$26:$H$45)*Objetivos!$G$26:$G$45)*12*(1+Objetivos!$B$6)^B50)</f>
        <v>0</v>
      </c>
      <c r="K50" s="148">
        <f>J50+IF(H50=0,0,J50*MAX(0,H50-I50)/H50)*Objetivos!$B$7</f>
        <v>0</v>
      </c>
      <c r="L50" s="151">
        <f>MAX(0,SUMIFS(Objetivos!$I$26:$I$45,Objetivos!$E$26:$E$45,B50,Objetivos!$C$26:$C$45,"Único",Objetivos!$B$26:$B$45,Objetivos!$A$19)+SUMPRODUCT(((Objetivos!$C$26:$C$45="Renta")+(Objetivos!$C$26:$C$45="Jubilación"))*(Objetivos!$B$26:$B$45=Objetivos!$A$19)*(B50&gt;=Objetivos!$E$26:$E$45)*(B50&lt;Objetivos!$E$26:$E$45+Objetivos!$H$26:$H$45)*Objetivos!$G$26:$G$45)*12*(1+Objetivos!$B$6)^B50-H50)</f>
        <v>0</v>
      </c>
      <c r="M50" s="148">
        <f>IF(B50&gt;=Objetivos!$B$11,0,IF(B50=1,Objetivos!$E$20*12+Objetivos!$C$20+Objetivos!$D$20,Objetivos!$E$20*12*(1+Objetivos!$B$9)^(B50-1)))</f>
        <v>0</v>
      </c>
      <c r="N50" s="149">
        <f>MAX(0,(N49-Q49)*(1+Objetivos!$B$20)+M50)</f>
        <v>715376.373891134</v>
      </c>
      <c r="O50" s="148">
        <f>MAX(0,O49-IF(N49=0,0,P49*O49/N49)+M50)</f>
        <v>131214.582798212</v>
      </c>
      <c r="P50" s="150">
        <f>MIN(N50,SUMIFS(Objetivos!$I$26:$I$45,Objetivos!$E$26:$E$45,B50,Objetivos!$C$26:$C$45,"Único",Objetivos!$B$26:$B$45,Objetivos!$A$20)+SUMPRODUCT(((Objetivos!$C$26:$C$45="Renta")+(Objetivos!$C$26:$C$45="Jubilación"))*(Objetivos!$B$26:$B$45=Objetivos!$A$20)*(B50&gt;=Objetivos!$E$26:$E$45)*(B50&lt;Objetivos!$E$26:$E$45+Objetivos!$H$26:$H$45)*Objetivos!$G$26:$G$45)*12*(1+Objetivos!$B$6)^B50)</f>
        <v>25518.3875426762</v>
      </c>
      <c r="Q50" s="148">
        <f>P50+IF(N50=0,0,P50*MAX(0,N50-O50)/N50)*Objetivos!$B$7</f>
        <v>30102.7026720159</v>
      </c>
      <c r="R50" s="151">
        <f>MAX(0,SUMIFS(Objetivos!$I$26:$I$45,Objetivos!$E$26:$E$45,B50,Objetivos!$C$26:$C$45,"Único",Objetivos!$B$26:$B$45,Objetivos!$A$20)+SUMPRODUCT(((Objetivos!$C$26:$C$45="Renta")+(Objetivos!$C$26:$C$45="Jubilación"))*(Objetivos!$B$26:$B$45=Objetivos!$A$20)*(B50&gt;=Objetivos!$E$26:$E$45)*(B50&lt;Objetivos!$E$26:$E$45+Objetivos!$H$26:$H$45)*Objetivos!$G$26:$G$45)*12*(1+Objetivos!$B$6)^B50-N50)</f>
        <v>0</v>
      </c>
      <c r="S50" s="148">
        <f>IF(B50&gt;=Objetivos!$B$11,0,IF(B50=1,Objetivos!$E$21*12+Objetivos!$C$21+Objetivos!$D$21,Objetivos!$E$21*12*(1+Objetivos!$B$9)^(B50-1)))</f>
        <v>0</v>
      </c>
      <c r="T50" s="149">
        <f>MAX(0,(T49-W49)*(1+Objetivos!$B$21)+S50)</f>
        <v>234756.666115289</v>
      </c>
      <c r="U50" s="148">
        <f>MAX(0,U49-IF(T49=0,0,V49*U49/T49)+S50)</f>
        <v>54143.3462974989</v>
      </c>
      <c r="V50" s="150">
        <f>MIN(T50,SUMIFS(Objetivos!$I$26:$I$45,Objetivos!$E$26:$E$45,B50,Objetivos!$C$26:$C$45,"Único",Objetivos!$B$26:$B$45,Objetivos!$A$21)+SUMPRODUCT(((Objetivos!$C$26:$C$45="Renta")+(Objetivos!$C$26:$C$45="Jubilación"))*(Objetivos!$B$26:$B$45=Objetivos!$A$21)*(B50&gt;=Objetivos!$E$26:$E$45)*(B50&lt;Objetivos!$E$26:$E$45+Objetivos!$H$26:$H$45)*Objetivos!$G$26:$G$45)*12*(1+Objetivos!$B$6)^B50)</f>
        <v>9113.70983667009</v>
      </c>
      <c r="W50" s="148">
        <f>V50+IF(T50=0,0,V50*MAX(0,T50-U50)/T50)*Objetivos!$B$7</f>
        <v>10656.2970256648</v>
      </c>
      <c r="X50" s="151">
        <f>MAX(0,SUMIFS(Objetivos!$I$26:$I$45,Objetivos!$E$26:$E$45,B50,Objetivos!$C$26:$C$45,"Único",Objetivos!$B$26:$B$45,Objetivos!$A$21)+SUMPRODUCT(((Objetivos!$C$26:$C$45="Renta")+(Objetivos!$C$26:$C$45="Jubilación"))*(Objetivos!$B$26:$B$45=Objetivos!$A$21)*(B50&gt;=Objetivos!$E$26:$E$45)*(B50&lt;Objetivos!$E$26:$E$45+Objetivos!$H$26:$H$45)*Objetivos!$G$26:$G$45)*12*(1+Objetivos!$B$6)^B50-T50)</f>
        <v>0</v>
      </c>
    </row>
    <row r="51">
      <c r="A51" s="152">
        <f>Objetivos!$B$5+B51</f>
        <v>2072</v>
      </c>
      <c r="B51" s="153" t="n">
        <v>46</v>
      </c>
      <c r="C51" s="154">
        <f>H51+N51+T51</f>
        <v>1321310.15322315</v>
      </c>
      <c r="D51" s="154">
        <f>(H51-MAX(0,H51-I51)*Objetivos!$B$7)+(N51-MAX(0,N51-O51)*Objetivos!$B$7)+(T51-MAX(0,T51-U51)*Objetivos!$B$7)</f>
        <v>1101587.2089457</v>
      </c>
      <c r="E51" s="155">
        <f>G51+M51+S51</f>
        <v>0</v>
      </c>
      <c r="F51" s="156">
        <f>J51+P51+V51</f>
        <v>35497.89981383</v>
      </c>
      <c r="G51" s="157">
        <f>IF(B51&gt;=Objetivos!$B$11,0,IF(B51=1,Objetivos!$E$19*12+Objetivos!$C$19+Objetivos!$D$19,Objetivos!$E$19*12*(1+Objetivos!$B$9)^(B51-1)))</f>
        <v>0</v>
      </c>
      <c r="H51" s="158">
        <f>MAX(0,(H50-K50)*(1+Objetivos!$B$19)+G51)</f>
        <v>359614.674186783</v>
      </c>
      <c r="I51" s="157">
        <f>MAX(0,I50-IF(H50=0,0,J50*I50/H50)+G51)</f>
        <v>143994.109707777</v>
      </c>
      <c r="J51" s="159">
        <f>MIN(H51,SUMIFS(Objetivos!$I$26:$I$45,Objetivos!$E$26:$E$45,B51,Objetivos!$C$26:$C$45,"Único",Objetivos!$B$26:$B$45,Objetivos!$A$19)+SUMPRODUCT(((Objetivos!$C$26:$C$45="Renta")+(Objetivos!$C$26:$C$45="Jubilación"))*(Objetivos!$B$26:$B$45=Objetivos!$A$19)*(B51&gt;=Objetivos!$E$26:$E$45)*(B51&lt;Objetivos!$E$26:$E$45+Objetivos!$H$26:$H$45)*Objetivos!$G$26:$G$45)*12*(1+Objetivos!$B$6)^B51)</f>
        <v>0</v>
      </c>
      <c r="K51" s="157">
        <f>J51+IF(H51=0,0,J51*MAX(0,H51-I51)/H51)*Objetivos!$B$7</f>
        <v>0</v>
      </c>
      <c r="L51" s="160">
        <f>MAX(0,SUMIFS(Objetivos!$I$26:$I$45,Objetivos!$E$26:$E$45,B51,Objetivos!$C$26:$C$45,"Único",Objetivos!$B$26:$B$45,Objetivos!$A$19)+SUMPRODUCT(((Objetivos!$C$26:$C$45="Renta")+(Objetivos!$C$26:$C$45="Jubilación"))*(Objetivos!$B$26:$B$45=Objetivos!$A$19)*(B51&gt;=Objetivos!$E$26:$E$45)*(B51&lt;Objetivos!$E$26:$E$45+Objetivos!$H$26:$H$45)*Objetivos!$G$26:$G$45)*12*(1+Objetivos!$B$6)^B51-H51)</f>
        <v>0</v>
      </c>
      <c r="M51" s="157">
        <f>IF(B51&gt;=Objetivos!$B$11,0,IF(B51=1,Objetivos!$E$20*12+Objetivos!$C$20+Objetivos!$D$20,Objetivos!$E$20*12*(1+Objetivos!$B$9)^(B51-1)))</f>
        <v>0</v>
      </c>
      <c r="N51" s="158">
        <f>MAX(0,(N50-Q50)*(1+Objetivos!$B$20)+M51)</f>
        <v>726390.091492265</v>
      </c>
      <c r="O51" s="157">
        <f>MAX(0,O50-IF(N50=0,0,P50*O50/N50)+M51)</f>
        <v>126533.991297989</v>
      </c>
      <c r="P51" s="159">
        <f>MIN(N51,SUMIFS(Objetivos!$I$26:$I$45,Objetivos!$E$26:$E$45,B51,Objetivos!$C$26:$C$45,"Único",Objetivos!$B$26:$B$45,Objetivos!$A$20)+SUMPRODUCT(((Objetivos!$C$26:$C$45="Renta")+(Objetivos!$C$26:$C$45="Jubilación"))*(Objetivos!$B$26:$B$45=Objetivos!$A$20)*(B51&gt;=Objetivos!$E$26:$E$45)*(B51&lt;Objetivos!$E$26:$E$45+Objetivos!$H$26:$H$45)*Objetivos!$G$26:$G$45)*12*(1+Objetivos!$B$6)^B51)</f>
        <v>26156.3472312431</v>
      </c>
      <c r="Q51" s="157">
        <f>P51+IF(N51=0,0,P51*MAX(0,N51-O51)/N51)*Objetivos!$B$7</f>
        <v>30908.3528249733</v>
      </c>
      <c r="R51" s="160">
        <f>MAX(0,SUMIFS(Objetivos!$I$26:$I$45,Objetivos!$E$26:$E$45,B51,Objetivos!$C$26:$C$45,"Único",Objetivos!$B$26:$B$45,Objetivos!$A$20)+SUMPRODUCT(((Objetivos!$C$26:$C$45="Renta")+(Objetivos!$C$26:$C$45="Jubilación"))*(Objetivos!$B$26:$B$45=Objetivos!$A$20)*(B51&gt;=Objetivos!$E$26:$E$45)*(B51&lt;Objetivos!$E$26:$E$45+Objetivos!$H$26:$H$45)*Objetivos!$G$26:$G$45)*12*(1+Objetivos!$B$6)^B51-N51)</f>
        <v>0</v>
      </c>
      <c r="S51" s="157">
        <f>IF(B51&gt;=Objetivos!$B$11,0,IF(B51=1,Objetivos!$E$21*12+Objetivos!$C$21+Objetivos!$D$21,Objetivos!$E$21*12*(1+Objetivos!$B$9)^(B51-1)))</f>
        <v>0</v>
      </c>
      <c r="T51" s="158">
        <f>MAX(0,(T50-W50)*(1+Objetivos!$B$21)+S51)</f>
        <v>235305.387544105</v>
      </c>
      <c r="U51" s="157">
        <f>MAX(0,U50-IF(T50=0,0,V50*U50/T50)+S51)</f>
        <v>52041.3964108047</v>
      </c>
      <c r="V51" s="159">
        <f>MIN(T51,SUMIFS(Objetivos!$I$26:$I$45,Objetivos!$E$26:$E$45,B51,Objetivos!$C$26:$C$45,"Único",Objetivos!$B$26:$B$45,Objetivos!$A$21)+SUMPRODUCT(((Objetivos!$C$26:$C$45="Renta")+(Objetivos!$C$26:$C$45="Jubilación"))*(Objetivos!$B$26:$B$45=Objetivos!$A$21)*(B51&gt;=Objetivos!$E$26:$E$45)*(B51&lt;Objetivos!$E$26:$E$45+Objetivos!$H$26:$H$45)*Objetivos!$G$26:$G$45)*12*(1+Objetivos!$B$6)^B51)</f>
        <v>9341.55258258684</v>
      </c>
      <c r="W51" s="157">
        <f>V51+IF(T51=0,0,V51*MAX(0,T51-U51)/T51)*Objetivos!$B$7</f>
        <v>10942.1680638453</v>
      </c>
      <c r="X51" s="160">
        <f>MAX(0,SUMIFS(Objetivos!$I$26:$I$45,Objetivos!$E$26:$E$45,B51,Objetivos!$C$26:$C$45,"Único",Objetivos!$B$26:$B$45,Objetivos!$A$21)+SUMPRODUCT(((Objetivos!$C$26:$C$45="Renta")+(Objetivos!$C$26:$C$45="Jubilación"))*(Objetivos!$B$26:$B$45=Objetivos!$A$21)*(B51&gt;=Objetivos!$E$26:$E$45)*(B51&lt;Objetivos!$E$26:$E$45+Objetivos!$H$26:$H$45)*Objetivos!$G$26:$G$45)*12*(1+Objetivos!$B$6)^B51-T51)</f>
        <v>0</v>
      </c>
    </row>
    <row r="52">
      <c r="A52" s="144">
        <f>Objetivos!$B$5+B52</f>
        <v>2073</v>
      </c>
      <c r="B52" s="145" t="n">
        <v>47</v>
      </c>
      <c r="C52" s="126">
        <f>H52+N52+T52</f>
        <v>1344993.21122492</v>
      </c>
      <c r="D52" s="126">
        <f>(H52-MAX(0,H52-I52)*Objetivos!$B$7)+(N52-MAX(0,N52-O52)*Objetivos!$B$7)+(T52-MAX(0,T52-U52)*Objetivos!$B$7)</f>
        <v>1118603.07730303</v>
      </c>
      <c r="E52" s="146">
        <f>G52+M52+S52</f>
        <v>0</v>
      </c>
      <c r="F52" s="147">
        <f>J52+P52+V52</f>
        <v>36385.3473091757</v>
      </c>
      <c r="G52" s="148">
        <f>IF(B52&gt;=Objetivos!$B$11,0,IF(B52=1,Objetivos!$E$19*12+Objetivos!$C$19+Objetivos!$D$19,Objetivos!$E$19*12*(1+Objetivos!$B$9)^(B52-1)))</f>
        <v>0</v>
      </c>
      <c r="H52" s="149">
        <f>MAX(0,(H51-K51)*(1+Objetivos!$B$19)+G52)</f>
        <v>372201.187783321</v>
      </c>
      <c r="I52" s="148">
        <f>MAX(0,I51-IF(H51=0,0,J51*I51/H51)+G52)</f>
        <v>143994.109707777</v>
      </c>
      <c r="J52" s="150">
        <f>MIN(H52,SUMIFS(Objetivos!$I$26:$I$45,Objetivos!$E$26:$E$45,B52,Objetivos!$C$26:$C$45,"Único",Objetivos!$B$26:$B$45,Objetivos!$A$19)+SUMPRODUCT(((Objetivos!$C$26:$C$45="Renta")+(Objetivos!$C$26:$C$45="Jubilación"))*(Objetivos!$B$26:$B$45=Objetivos!$A$19)*(B52&gt;=Objetivos!$E$26:$E$45)*(B52&lt;Objetivos!$E$26:$E$45+Objetivos!$H$26:$H$45)*Objetivos!$G$26:$G$45)*12*(1+Objetivos!$B$6)^B52)</f>
        <v>0</v>
      </c>
      <c r="K52" s="148">
        <f>J52+IF(H52=0,0,J52*MAX(0,H52-I52)/H52)*Objetivos!$B$7</f>
        <v>0</v>
      </c>
      <c r="L52" s="151">
        <f>MAX(0,SUMIFS(Objetivos!$I$26:$I$45,Objetivos!$E$26:$E$45,B52,Objetivos!$C$26:$C$45,"Único",Objetivos!$B$26:$B$45,Objetivos!$A$19)+SUMPRODUCT(((Objetivos!$C$26:$C$45="Renta")+(Objetivos!$C$26:$C$45="Jubilación"))*(Objetivos!$B$26:$B$45=Objetivos!$A$19)*(B52&gt;=Objetivos!$E$26:$E$45)*(B52&lt;Objetivos!$E$26:$E$45+Objetivos!$H$26:$H$45)*Objetivos!$G$26:$G$45)*12*(1+Objetivos!$B$6)^B52-H52)</f>
        <v>0</v>
      </c>
      <c r="M52" s="148">
        <f>IF(B52&gt;=Objetivos!$B$11,0,IF(B52=1,Objetivos!$E$20*12+Objetivos!$C$20+Objetivos!$D$20,Objetivos!$E$20*12*(1+Objetivos!$B$9)^(B52-1)))</f>
        <v>0</v>
      </c>
      <c r="N52" s="149">
        <f>MAX(0,(N51-Q51)*(1+Objetivos!$B$20)+M52)</f>
        <v>737210.642987329</v>
      </c>
      <c r="O52" s="148">
        <f>MAX(0,O51-IF(N51=0,0,P51*O51/N51)+M52)</f>
        <v>121977.669492791</v>
      </c>
      <c r="P52" s="150">
        <f>MIN(N52,SUMIFS(Objetivos!$I$26:$I$45,Objetivos!$E$26:$E$45,B52,Objetivos!$C$26:$C$45,"Único",Objetivos!$B$26:$B$45,Objetivos!$A$20)+SUMPRODUCT(((Objetivos!$C$26:$C$45="Renta")+(Objetivos!$C$26:$C$45="Jubilación"))*(Objetivos!$B$26:$B$45=Objetivos!$A$20)*(B52&gt;=Objetivos!$E$26:$E$45)*(B52&lt;Objetivos!$E$26:$E$45+Objetivos!$H$26:$H$45)*Objetivos!$G$26:$G$45)*12*(1+Objetivos!$B$6)^B52)</f>
        <v>26810.2559120242</v>
      </c>
      <c r="Q52" s="148">
        <f>P52+IF(N52=0,0,P52*MAX(0,N52-O52)/N52)*Objetivos!$B$7</f>
        <v>31732.5963540643</v>
      </c>
      <c r="R52" s="151">
        <f>MAX(0,SUMIFS(Objetivos!$I$26:$I$45,Objetivos!$E$26:$E$45,B52,Objetivos!$C$26:$C$45,"Único",Objetivos!$B$26:$B$45,Objetivos!$A$20)+SUMPRODUCT(((Objetivos!$C$26:$C$45="Renta")+(Objetivos!$C$26:$C$45="Jubilación"))*(Objetivos!$B$26:$B$45=Objetivos!$A$20)*(B52&gt;=Objetivos!$E$26:$E$45)*(B52&lt;Objetivos!$E$26:$E$45+Objetivos!$H$26:$H$45)*Objetivos!$G$26:$G$45)*12*(1+Objetivos!$B$6)^B52-N52)</f>
        <v>0</v>
      </c>
      <c r="S52" s="148">
        <f>IF(B52&gt;=Objetivos!$B$11,0,IF(B52=1,Objetivos!$E$21*12+Objetivos!$C$21+Objetivos!$D$21,Objetivos!$E$21*12*(1+Objetivos!$B$9)^(B52-1)))</f>
        <v>0</v>
      </c>
      <c r="T52" s="149">
        <f>MAX(0,(T51-W51)*(1+Objetivos!$B$21)+S52)</f>
        <v>235581.380454273</v>
      </c>
      <c r="U52" s="148">
        <f>MAX(0,U51-IF(T51=0,0,V51*U51/T51)+S52)</f>
        <v>49975.3687430291</v>
      </c>
      <c r="V52" s="150">
        <f>MIN(T52,SUMIFS(Objetivos!$I$26:$I$45,Objetivos!$E$26:$E$45,B52,Objetivos!$C$26:$C$45,"Único",Objetivos!$B$26:$B$45,Objetivos!$A$21)+SUMPRODUCT(((Objetivos!$C$26:$C$45="Renta")+(Objetivos!$C$26:$C$45="Jubilación"))*(Objetivos!$B$26:$B$45=Objetivos!$A$21)*(B52&gt;=Objetivos!$E$26:$E$45)*(B52&lt;Objetivos!$E$26:$E$45+Objetivos!$H$26:$H$45)*Objetivos!$G$26:$G$45)*12*(1+Objetivos!$B$6)^B52)</f>
        <v>9575.09139715151</v>
      </c>
      <c r="W52" s="148">
        <f>V52+IF(T52=0,0,V52*MAX(0,T52-U52)/T52)*Objetivos!$B$7</f>
        <v>11234.7420663392</v>
      </c>
      <c r="X52" s="151">
        <f>MAX(0,SUMIFS(Objetivos!$I$26:$I$45,Objetivos!$E$26:$E$45,B52,Objetivos!$C$26:$C$45,"Único",Objetivos!$B$26:$B$45,Objetivos!$A$21)+SUMPRODUCT(((Objetivos!$C$26:$C$45="Renta")+(Objetivos!$C$26:$C$45="Jubilación"))*(Objetivos!$B$26:$B$45=Objetivos!$A$21)*(B52&gt;=Objetivos!$E$26:$E$45)*(B52&lt;Objetivos!$E$26:$E$45+Objetivos!$H$26:$H$45)*Objetivos!$G$26:$G$45)*12*(1+Objetivos!$B$6)^B52-T52)</f>
        <v>0</v>
      </c>
    </row>
    <row r="53">
      <c r="A53" s="152">
        <f>Objetivos!$B$5+B53</f>
        <v>2074</v>
      </c>
      <c r="B53" s="153" t="n">
        <v>48</v>
      </c>
      <c r="C53" s="154">
        <f>H53+N53+T53</f>
        <v>1368598.92909433</v>
      </c>
      <c r="D53" s="154">
        <f>(H53-MAX(0,H53-I53)*Objetivos!$B$7)+(N53-MAX(0,N53-O53)*Objetivos!$B$7)+(T53-MAX(0,T53-U53)*Objetivos!$B$7)</f>
        <v>1135592.75194438</v>
      </c>
      <c r="E53" s="155">
        <f>G53+M53+S53</f>
        <v>0</v>
      </c>
      <c r="F53" s="156">
        <f>J53+P53+V53</f>
        <v>37294.9809919051</v>
      </c>
      <c r="G53" s="157">
        <f>IF(B53&gt;=Objetivos!$B$11,0,IF(B53=1,Objetivos!$E$19*12+Objetivos!$C$19+Objetivos!$D$19,Objetivos!$E$19*12*(1+Objetivos!$B$9)^(B53-1)))</f>
        <v>0</v>
      </c>
      <c r="H53" s="158">
        <f>MAX(0,(H52-K52)*(1+Objetivos!$B$19)+G53)</f>
        <v>385228.229355737</v>
      </c>
      <c r="I53" s="157">
        <f>MAX(0,I52-IF(H52=0,0,J52*I52/H52)+G53)</f>
        <v>143994.109707777</v>
      </c>
      <c r="J53" s="159">
        <f>MIN(H53,SUMIFS(Objetivos!$I$26:$I$45,Objetivos!$E$26:$E$45,B53,Objetivos!$C$26:$C$45,"Único",Objetivos!$B$26:$B$45,Objetivos!$A$19)+SUMPRODUCT(((Objetivos!$C$26:$C$45="Renta")+(Objetivos!$C$26:$C$45="Jubilación"))*(Objetivos!$B$26:$B$45=Objetivos!$A$19)*(B53&gt;=Objetivos!$E$26:$E$45)*(B53&lt;Objetivos!$E$26:$E$45+Objetivos!$H$26:$H$45)*Objetivos!$G$26:$G$45)*12*(1+Objetivos!$B$6)^B53)</f>
        <v>0</v>
      </c>
      <c r="K53" s="157">
        <f>J53+IF(H53=0,0,J53*MAX(0,H53-I53)/H53)*Objetivos!$B$7</f>
        <v>0</v>
      </c>
      <c r="L53" s="160">
        <f>MAX(0,SUMIFS(Objetivos!$I$26:$I$45,Objetivos!$E$26:$E$45,B53,Objetivos!$C$26:$C$45,"Único",Objetivos!$B$26:$B$45,Objetivos!$A$19)+SUMPRODUCT(((Objetivos!$C$26:$C$45="Renta")+(Objetivos!$C$26:$C$45="Jubilación"))*(Objetivos!$B$26:$B$45=Objetivos!$A$19)*(B53&gt;=Objetivos!$E$26:$E$45)*(B53&lt;Objetivos!$E$26:$E$45+Objetivos!$H$26:$H$45)*Objetivos!$G$26:$G$45)*12*(1+Objetivos!$B$6)^B53-H53)</f>
        <v>0</v>
      </c>
      <c r="M53" s="157">
        <f>IF(B53&gt;=Objetivos!$B$11,0,IF(B53=1,Objetivos!$E$20*12+Objetivos!$C$20+Objetivos!$D$20,Objetivos!$E$20*12*(1+Objetivos!$B$9)^(B53-1)))</f>
        <v>0</v>
      </c>
      <c r="N53" s="158">
        <f>MAX(0,(N52-Q52)*(1+Objetivos!$B$20)+M53)</f>
        <v>747806.729431261</v>
      </c>
      <c r="O53" s="157">
        <f>MAX(0,O52-IF(N52=0,0,P52*O52/N52)+M53)</f>
        <v>117541.688317313</v>
      </c>
      <c r="P53" s="159">
        <f>MIN(N53,SUMIFS(Objetivos!$I$26:$I$45,Objetivos!$E$26:$E$45,B53,Objetivos!$C$26:$C$45,"Único",Objetivos!$B$26:$B$45,Objetivos!$A$20)+SUMPRODUCT(((Objetivos!$C$26:$C$45="Renta")+(Objetivos!$C$26:$C$45="Jubilación"))*(Objetivos!$B$26:$B$45=Objetivos!$A$20)*(B53&gt;=Objetivos!$E$26:$E$45)*(B53&lt;Objetivos!$E$26:$E$45+Objetivos!$H$26:$H$45)*Objetivos!$G$26:$G$45)*12*(1+Objetivos!$B$6)^B53)</f>
        <v>27480.5123098248</v>
      </c>
      <c r="Q53" s="157">
        <f>P53+IF(N53=0,0,P53*MAX(0,N53-O53)/N53)*Objetivos!$B$7</f>
        <v>32575.9483611565</v>
      </c>
      <c r="R53" s="160">
        <f>MAX(0,SUMIFS(Objetivos!$I$26:$I$45,Objetivos!$E$26:$E$45,B53,Objetivos!$C$26:$C$45,"Único",Objetivos!$B$26:$B$45,Objetivos!$A$20)+SUMPRODUCT(((Objetivos!$C$26:$C$45="Renta")+(Objetivos!$C$26:$C$45="Jubilación"))*(Objetivos!$B$26:$B$45=Objetivos!$A$20)*(B53&gt;=Objetivos!$E$26:$E$45)*(B53&lt;Objetivos!$E$26:$E$45+Objetivos!$H$26:$H$45)*Objetivos!$G$26:$G$45)*12*(1+Objetivos!$B$6)^B53-N53)</f>
        <v>0</v>
      </c>
      <c r="S53" s="157">
        <f>IF(B53&gt;=Objetivos!$B$11,0,IF(B53=1,Objetivos!$E$21*12+Objetivos!$C$21+Objetivos!$D$21,Objetivos!$E$21*12*(1+Objetivos!$B$9)^(B53-1)))</f>
        <v>0</v>
      </c>
      <c r="T53" s="158">
        <f>MAX(0,(T52-W52)*(1+Objetivos!$B$21)+S53)</f>
        <v>235563.97030733</v>
      </c>
      <c r="U53" s="157">
        <f>MAX(0,U52-IF(T52=0,0,V52*U52/T52)+S53)</f>
        <v>47944.1440240036</v>
      </c>
      <c r="V53" s="159">
        <f>MIN(T53,SUMIFS(Objetivos!$I$26:$I$45,Objetivos!$E$26:$E$45,B53,Objetivos!$C$26:$C$45,"Único",Objetivos!$B$26:$B$45,Objetivos!$A$21)+SUMPRODUCT(((Objetivos!$C$26:$C$45="Renta")+(Objetivos!$C$26:$C$45="Jubilación"))*(Objetivos!$B$26:$B$45=Objetivos!$A$21)*(B53&gt;=Objetivos!$E$26:$E$45)*(B53&lt;Objetivos!$E$26:$E$45+Objetivos!$H$26:$H$45)*Objetivos!$G$26:$G$45)*12*(1+Objetivos!$B$6)^B53)</f>
        <v>9814.4686820803</v>
      </c>
      <c r="W53" s="157">
        <f>V53+IF(T53=0,0,V53*MAX(0,T53-U53)/T53)*Objetivos!$B$7</f>
        <v>11534.1950031063</v>
      </c>
      <c r="X53" s="160">
        <f>MAX(0,SUMIFS(Objetivos!$I$26:$I$45,Objetivos!$E$26:$E$45,B53,Objetivos!$C$26:$C$45,"Único",Objetivos!$B$26:$B$45,Objetivos!$A$21)+SUMPRODUCT(((Objetivos!$C$26:$C$45="Renta")+(Objetivos!$C$26:$C$45="Jubilación"))*(Objetivos!$B$26:$B$45=Objetivos!$A$21)*(B53&gt;=Objetivos!$E$26:$E$45)*(B53&lt;Objetivos!$E$26:$E$45+Objetivos!$H$26:$H$45)*Objetivos!$G$26:$G$45)*12*(1+Objetivos!$B$6)^B53-T53)</f>
        <v>0</v>
      </c>
    </row>
    <row r="54">
      <c r="A54" s="144">
        <f>Objetivos!$B$5+B54</f>
        <v>2075</v>
      </c>
      <c r="B54" s="145" t="n">
        <v>49</v>
      </c>
      <c r="C54" s="126">
        <f>H54+N54+T54</f>
        <v>1392087.10938693</v>
      </c>
      <c r="D54" s="126">
        <f>(H54-MAX(0,H54-I54)*Objetivos!$B$7)+(N54-MAX(0,N54-O54)*Objetivos!$B$7)+(T54-MAX(0,T54-U54)*Objetivos!$B$7)</f>
        <v>1152523.79912675</v>
      </c>
      <c r="E54" s="146">
        <f>G54+M54+S54</f>
        <v>0</v>
      </c>
      <c r="F54" s="147">
        <f>J54+P54+V54</f>
        <v>38227.3555167028</v>
      </c>
      <c r="G54" s="148">
        <f>IF(B54&gt;=Objetivos!$B$11,0,IF(B54=1,Objetivos!$E$19*12+Objetivos!$C$19+Objetivos!$D$19,Objetivos!$E$19*12*(1+Objetivos!$B$9)^(B54-1)))</f>
        <v>0</v>
      </c>
      <c r="H54" s="149">
        <f>MAX(0,(H53-K53)*(1+Objetivos!$B$19)+G54)</f>
        <v>398711.217383188</v>
      </c>
      <c r="I54" s="148">
        <f>MAX(0,I53-IF(H53=0,0,J53*I53/H53)+G54)</f>
        <v>143994.109707777</v>
      </c>
      <c r="J54" s="150">
        <f>MIN(H54,SUMIFS(Objetivos!$I$26:$I$45,Objetivos!$E$26:$E$45,B54,Objetivos!$C$26:$C$45,"Único",Objetivos!$B$26:$B$45,Objetivos!$A$19)+SUMPRODUCT(((Objetivos!$C$26:$C$45="Renta")+(Objetivos!$C$26:$C$45="Jubilación"))*(Objetivos!$B$26:$B$45=Objetivos!$A$19)*(B54&gt;=Objetivos!$E$26:$E$45)*(B54&lt;Objetivos!$E$26:$E$45+Objetivos!$H$26:$H$45)*Objetivos!$G$26:$G$45)*12*(1+Objetivos!$B$6)^B54)</f>
        <v>0</v>
      </c>
      <c r="K54" s="148">
        <f>J54+IF(H54=0,0,J54*MAX(0,H54-I54)/H54)*Objetivos!$B$7</f>
        <v>0</v>
      </c>
      <c r="L54" s="151">
        <f>MAX(0,SUMIFS(Objetivos!$I$26:$I$45,Objetivos!$E$26:$E$45,B54,Objetivos!$C$26:$C$45,"Único",Objetivos!$B$26:$B$45,Objetivos!$A$19)+SUMPRODUCT(((Objetivos!$C$26:$C$45="Renta")+(Objetivos!$C$26:$C$45="Jubilación"))*(Objetivos!$B$26:$B$45=Objetivos!$A$19)*(B54&gt;=Objetivos!$E$26:$E$45)*(B54&lt;Objetivos!$E$26:$E$45+Objetivos!$H$26:$H$45)*Objetivos!$G$26:$G$45)*12*(1+Objetivos!$B$6)^B54-H54)</f>
        <v>0</v>
      </c>
      <c r="M54" s="148">
        <f>IF(B54&gt;=Objetivos!$B$11,0,IF(B54=1,Objetivos!$E$20*12+Objetivos!$C$20+Objetivos!$D$20,Objetivos!$E$20*12*(1+Objetivos!$B$9)^(B54-1)))</f>
        <v>0</v>
      </c>
      <c r="N54" s="149">
        <f>MAX(0,(N53-Q53)*(1+Objetivos!$B$20)+M54)</f>
        <v>758144.627934311</v>
      </c>
      <c r="O54" s="148">
        <f>MAX(0,O53-IF(N53=0,0,P53*O53/N53)+M54)</f>
        <v>113222.248968087</v>
      </c>
      <c r="P54" s="150">
        <f>MIN(N54,SUMIFS(Objetivos!$I$26:$I$45,Objetivos!$E$26:$E$45,B54,Objetivos!$C$26:$C$45,"Único",Objetivos!$B$26:$B$45,Objetivos!$A$20)+SUMPRODUCT(((Objetivos!$C$26:$C$45="Renta")+(Objetivos!$C$26:$C$45="Jubilación"))*(Objetivos!$B$26:$B$45=Objetivos!$A$20)*(B54&gt;=Objetivos!$E$26:$E$45)*(B54&lt;Objetivos!$E$26:$E$45+Objetivos!$H$26:$H$45)*Objetivos!$G$26:$G$45)*12*(1+Objetivos!$B$6)^B54)</f>
        <v>28167.5251175704</v>
      </c>
      <c r="Q54" s="148">
        <f>P54+IF(N54=0,0,P54*MAX(0,N54-O54)/N54)*Objetivos!$B$7</f>
        <v>33438.934635752</v>
      </c>
      <c r="R54" s="151">
        <f>MAX(0,SUMIFS(Objetivos!$I$26:$I$45,Objetivos!$E$26:$E$45,B54,Objetivos!$C$26:$C$45,"Único",Objetivos!$B$26:$B$45,Objetivos!$A$20)+SUMPRODUCT(((Objetivos!$C$26:$C$45="Renta")+(Objetivos!$C$26:$C$45="Jubilación"))*(Objetivos!$B$26:$B$45=Objetivos!$A$20)*(B54&gt;=Objetivos!$E$26:$E$45)*(B54&lt;Objetivos!$E$26:$E$45+Objetivos!$H$26:$H$45)*Objetivos!$G$26:$G$45)*12*(1+Objetivos!$B$6)^B54-N54)</f>
        <v>0</v>
      </c>
      <c r="S54" s="148">
        <f>IF(B54&gt;=Objetivos!$B$11,0,IF(B54=1,Objetivos!$E$21*12+Objetivos!$C$21+Objetivos!$D$21,Objetivos!$E$21*12*(1+Objetivos!$B$9)^(B54-1)))</f>
        <v>0</v>
      </c>
      <c r="T54" s="149">
        <f>MAX(0,(T53-W53)*(1+Objetivos!$B$21)+S54)</f>
        <v>235231.264069435</v>
      </c>
      <c r="U54" s="148">
        <f>MAX(0,U53-IF(T53=0,0,V53*U53/T53)+S54)</f>
        <v>45946.613164769</v>
      </c>
      <c r="V54" s="150">
        <f>MIN(T54,SUMIFS(Objetivos!$I$26:$I$45,Objetivos!$E$26:$E$45,B54,Objetivos!$C$26:$C$45,"Único",Objetivos!$B$26:$B$45,Objetivos!$A$21)+SUMPRODUCT(((Objetivos!$C$26:$C$45="Renta")+(Objetivos!$C$26:$C$45="Jubilación"))*(Objetivos!$B$26:$B$45=Objetivos!$A$21)*(B54&gt;=Objetivos!$E$26:$E$45)*(B54&lt;Objetivos!$E$26:$E$45+Objetivos!$H$26:$H$45)*Objetivos!$G$26:$G$45)*12*(1+Objetivos!$B$6)^B54)</f>
        <v>10059.8303991323</v>
      </c>
      <c r="W54" s="148">
        <f>V54+IF(T54=0,0,V54*MAX(0,T54-U54)/T54)*Objetivos!$B$7</f>
        <v>11840.706459185</v>
      </c>
      <c r="X54" s="151">
        <f>MAX(0,SUMIFS(Objetivos!$I$26:$I$45,Objetivos!$E$26:$E$45,B54,Objetivos!$C$26:$C$45,"Único",Objetivos!$B$26:$B$45,Objetivos!$A$21)+SUMPRODUCT(((Objetivos!$C$26:$C$45="Renta")+(Objetivos!$C$26:$C$45="Jubilación"))*(Objetivos!$B$26:$B$45=Objetivos!$A$21)*(B54&gt;=Objetivos!$E$26:$E$45)*(B54&lt;Objetivos!$E$26:$E$45+Objetivos!$H$26:$H$45)*Objetivos!$G$26:$G$45)*12*(1+Objetivos!$B$6)^B54-T54)</f>
        <v>0</v>
      </c>
    </row>
    <row r="55">
      <c r="A55" s="152">
        <f>Objetivos!$B$5+B55</f>
        <v>2076</v>
      </c>
      <c r="B55" s="153" t="n">
        <v>50</v>
      </c>
      <c r="C55" s="154">
        <f>H55+N55+T55</f>
        <v>1415414.23037883</v>
      </c>
      <c r="D55" s="154">
        <f>(H55-MAX(0,H55-I55)*Objetivos!$B$7)+(N55-MAX(0,N55-O55)*Objetivos!$B$7)+(T55-MAX(0,T55-U55)*Objetivos!$B$7)</f>
        <v>1169361.22086499</v>
      </c>
      <c r="E55" s="155">
        <f>G55+M55+S55</f>
        <v>0</v>
      </c>
      <c r="F55" s="156">
        <f>J55+P55+V55</f>
        <v>39183.0394046203</v>
      </c>
      <c r="G55" s="157">
        <f>IF(B55&gt;=Objetivos!$B$11,0,IF(B55=1,Objetivos!$E$19*12+Objetivos!$C$19+Objetivos!$D$19,Objetivos!$E$19*12*(1+Objetivos!$B$9)^(B55-1)))</f>
        <v>0</v>
      </c>
      <c r="H55" s="158">
        <f>MAX(0,(H54-K54)*(1+Objetivos!$B$19)+G55)</f>
        <v>412666.109991599</v>
      </c>
      <c r="I55" s="157">
        <f>MAX(0,I54-IF(H54=0,0,J54*I54/H54)+G55)</f>
        <v>143994.109707777</v>
      </c>
      <c r="J55" s="159">
        <f>MIN(H55,SUMIFS(Objetivos!$I$26:$I$45,Objetivos!$E$26:$E$45,B55,Objetivos!$C$26:$C$45,"Único",Objetivos!$B$26:$B$45,Objetivos!$A$19)+SUMPRODUCT(((Objetivos!$C$26:$C$45="Renta")+(Objetivos!$C$26:$C$45="Jubilación"))*(Objetivos!$B$26:$B$45=Objetivos!$A$19)*(B55&gt;=Objetivos!$E$26:$E$45)*(B55&lt;Objetivos!$E$26:$E$45+Objetivos!$H$26:$H$45)*Objetivos!$G$26:$G$45)*12*(1+Objetivos!$B$6)^B55)</f>
        <v>0</v>
      </c>
      <c r="K55" s="157">
        <f>J55+IF(H55=0,0,J55*MAX(0,H55-I55)/H55)*Objetivos!$B$7</f>
        <v>0</v>
      </c>
      <c r="L55" s="160">
        <f>MAX(0,SUMIFS(Objetivos!$I$26:$I$45,Objetivos!$E$26:$E$45,B55,Objetivos!$C$26:$C$45,"Único",Objetivos!$B$26:$B$45,Objetivos!$A$19)+SUMPRODUCT(((Objetivos!$C$26:$C$45="Renta")+(Objetivos!$C$26:$C$45="Jubilación"))*(Objetivos!$B$26:$B$45=Objetivos!$A$19)*(B55&gt;=Objetivos!$E$26:$E$45)*(B55&lt;Objetivos!$E$26:$E$45+Objetivos!$H$26:$H$45)*Objetivos!$G$26:$G$45)*12*(1+Objetivos!$B$6)^B55-H55)</f>
        <v>0</v>
      </c>
      <c r="M55" s="157">
        <f>IF(B55&gt;=Objetivos!$B$11,0,IF(B55=1,Objetivos!$E$20*12+Objetivos!$C$20+Objetivos!$D$20,Objetivos!$E$20*12*(1+Objetivos!$B$9)^(B55-1)))</f>
        <v>0</v>
      </c>
      <c r="N55" s="158">
        <f>MAX(0,(N54-Q54)*(1+Objetivos!$B$20)+M55)</f>
        <v>768188.034896472</v>
      </c>
      <c r="O55" s="157">
        <f>MAX(0,O54-IF(N54=0,0,P54*O54/N54)+M55)</f>
        <v>109015.676205887</v>
      </c>
      <c r="P55" s="159">
        <f>MIN(N55,SUMIFS(Objetivos!$I$26:$I$45,Objetivos!$E$26:$E$45,B55,Objetivos!$C$26:$C$45,"Único",Objetivos!$B$26:$B$45,Objetivos!$A$20)+SUMPRODUCT(((Objetivos!$C$26:$C$45="Renta")+(Objetivos!$C$26:$C$45="Jubilación"))*(Objetivos!$B$26:$B$45=Objetivos!$A$20)*(B55&gt;=Objetivos!$E$26:$E$45)*(B55&lt;Objetivos!$E$26:$E$45+Objetivos!$H$26:$H$45)*Objetivos!$G$26:$G$45)*12*(1+Objetivos!$B$6)^B55)</f>
        <v>28871.7132455097</v>
      </c>
      <c r="Q55" s="157">
        <f>P55+IF(N55=0,0,P55*MAX(0,N55-O55)/N55)*Objetivos!$B$7</f>
        <v>34322.092033107</v>
      </c>
      <c r="R55" s="160">
        <f>MAX(0,SUMIFS(Objetivos!$I$26:$I$45,Objetivos!$E$26:$E$45,B55,Objetivos!$C$26:$C$45,"Único",Objetivos!$B$26:$B$45,Objetivos!$A$20)+SUMPRODUCT(((Objetivos!$C$26:$C$45="Renta")+(Objetivos!$C$26:$C$45="Jubilación"))*(Objetivos!$B$26:$B$45=Objetivos!$A$20)*(B55&gt;=Objetivos!$E$26:$E$45)*(B55&lt;Objetivos!$E$26:$E$45+Objetivos!$H$26:$H$45)*Objetivos!$G$26:$G$45)*12*(1+Objetivos!$B$6)^B55-N55)</f>
        <v>0</v>
      </c>
      <c r="S55" s="157">
        <f>IF(B55&gt;=Objetivos!$B$11,0,IF(B55=1,Objetivos!$E$21*12+Objetivos!$C$21+Objetivos!$D$21,Objetivos!$E$21*12*(1+Objetivos!$B$9)^(B55-1)))</f>
        <v>0</v>
      </c>
      <c r="T55" s="158">
        <f>MAX(0,(T54-W54)*(1+Objetivos!$B$21)+S55)</f>
        <v>234560.085490763</v>
      </c>
      <c r="U55" s="157">
        <f>MAX(0,U54-IF(T54=0,0,V54*U54/T54)+S55)</f>
        <v>43981.6739476942</v>
      </c>
      <c r="V55" s="159">
        <f>MIN(T55,SUMIFS(Objetivos!$I$26:$I$45,Objetivos!$E$26:$E$45,B55,Objetivos!$C$26:$C$45,"Único",Objetivos!$B$26:$B$45,Objetivos!$A$21)+SUMPRODUCT(((Objetivos!$C$26:$C$45="Renta")+(Objetivos!$C$26:$C$45="Jubilación"))*(Objetivos!$B$26:$B$45=Objetivos!$A$21)*(B55&gt;=Objetivos!$E$26:$E$45)*(B55&lt;Objetivos!$E$26:$E$45+Objetivos!$H$26:$H$45)*Objetivos!$G$26:$G$45)*12*(1+Objetivos!$B$6)^B55)</f>
        <v>10311.3261591106</v>
      </c>
      <c r="W55" s="157">
        <f>V55+IF(T55=0,0,V55*MAX(0,T55-U55)/T55)*Objetivos!$B$7</f>
        <v>12154.4596758926</v>
      </c>
      <c r="X55" s="160">
        <f>MAX(0,SUMIFS(Objetivos!$I$26:$I$45,Objetivos!$E$26:$E$45,B55,Objetivos!$C$26:$C$45,"Único",Objetivos!$B$26:$B$45,Objetivos!$A$21)+SUMPRODUCT(((Objetivos!$C$26:$C$45="Renta")+(Objetivos!$C$26:$C$45="Jubilación"))*(Objetivos!$B$26:$B$45=Objetivos!$A$21)*(B55&gt;=Objetivos!$E$26:$E$45)*(B55&lt;Objetivos!$E$26:$E$45+Objetivos!$H$26:$H$45)*Objetivos!$G$26:$G$45)*12*(1+Objetivos!$B$6)^B55-T55)</f>
        <v>0</v>
      </c>
    </row>
    <row r="56">
      <c r="A56" s="144">
        <f>Objetivos!$B$5+B56</f>
        <v>2077</v>
      </c>
      <c r="B56" s="145" t="n">
        <v>51</v>
      </c>
      <c r="C56" s="126">
        <f>H56+N56+T56</f>
        <v>1438533.23038209</v>
      </c>
      <c r="D56" s="126">
        <f>(H56-MAX(0,H56-I56)*Objetivos!$B$7)+(N56-MAX(0,N56-O56)*Objetivos!$B$7)+(T56-MAX(0,T56-U56)*Objetivos!$B$7)</f>
        <v>1186067.28450289</v>
      </c>
      <c r="E56" s="146">
        <f>G56+M56+S56</f>
        <v>0</v>
      </c>
      <c r="F56" s="147">
        <f>J56+P56+V56</f>
        <v>40162.6153897358</v>
      </c>
      <c r="G56" s="148">
        <f>IF(B56&gt;=Objetivos!$B$11,0,IF(B56=1,Objetivos!$E$19*12+Objetivos!$C$19+Objetivos!$D$19,Objetivos!$E$19*12*(1+Objetivos!$B$9)^(B56-1)))</f>
        <v>0</v>
      </c>
      <c r="H56" s="149">
        <f>MAX(0,(H55-K55)*(1+Objetivos!$B$19)+G56)</f>
        <v>427109.423841305</v>
      </c>
      <c r="I56" s="148">
        <f>MAX(0,I55-IF(H55=0,0,J55*I55/H55)+G56)</f>
        <v>143994.109707777</v>
      </c>
      <c r="J56" s="150">
        <f>MIN(H56,SUMIFS(Objetivos!$I$26:$I$45,Objetivos!$E$26:$E$45,B56,Objetivos!$C$26:$C$45,"Único",Objetivos!$B$26:$B$45,Objetivos!$A$19)+SUMPRODUCT(((Objetivos!$C$26:$C$45="Renta")+(Objetivos!$C$26:$C$45="Jubilación"))*(Objetivos!$B$26:$B$45=Objetivos!$A$19)*(B56&gt;=Objetivos!$E$26:$E$45)*(B56&lt;Objetivos!$E$26:$E$45+Objetivos!$H$26:$H$45)*Objetivos!$G$26:$G$45)*12*(1+Objetivos!$B$6)^B56)</f>
        <v>0</v>
      </c>
      <c r="K56" s="148">
        <f>J56+IF(H56=0,0,J56*MAX(0,H56-I56)/H56)*Objetivos!$B$7</f>
        <v>0</v>
      </c>
      <c r="L56" s="151">
        <f>MAX(0,SUMIFS(Objetivos!$I$26:$I$45,Objetivos!$E$26:$E$45,B56,Objetivos!$C$26:$C$45,"Único",Objetivos!$B$26:$B$45,Objetivos!$A$19)+SUMPRODUCT(((Objetivos!$C$26:$C$45="Renta")+(Objetivos!$C$26:$C$45="Jubilación"))*(Objetivos!$B$26:$B$45=Objetivos!$A$19)*(B56&gt;=Objetivos!$E$26:$E$45)*(B56&lt;Objetivos!$E$26:$E$45+Objetivos!$H$26:$H$45)*Objetivos!$G$26:$G$45)*12*(1+Objetivos!$B$6)^B56-H56)</f>
        <v>0</v>
      </c>
      <c r="M56" s="148">
        <f>IF(B56&gt;=Objetivos!$B$11,0,IF(B56=1,Objetivos!$E$20*12+Objetivos!$C$20+Objetivos!$D$20,Objetivos!$E$20*12*(1+Objetivos!$B$9)^(B56-1)))</f>
        <v>0</v>
      </c>
      <c r="N56" s="149">
        <f>MAX(0,(N55-Q55)*(1+Objetivos!$B$20)+M56)</f>
        <v>777897.899435167</v>
      </c>
      <c r="O56" s="148">
        <f>MAX(0,O55-IF(N55=0,0,P55*O55/N55)+M56)</f>
        <v>104918.411994911</v>
      </c>
      <c r="P56" s="150">
        <f>MIN(N56,SUMIFS(Objetivos!$I$26:$I$45,Objetivos!$E$26:$E$45,B56,Objetivos!$C$26:$C$45,"Único",Objetivos!$B$26:$B$45,Objetivos!$A$20)+SUMPRODUCT(((Objetivos!$C$26:$C$45="Renta")+(Objetivos!$C$26:$C$45="Jubilación"))*(Objetivos!$B$26:$B$45=Objetivos!$A$20)*(B56&gt;=Objetivos!$E$26:$E$45)*(B56&lt;Objetivos!$E$26:$E$45+Objetivos!$H$26:$H$45)*Objetivos!$G$26:$G$45)*12*(1+Objetivos!$B$6)^B56)</f>
        <v>29593.5060766474</v>
      </c>
      <c r="Q56" s="148">
        <f>P56+IF(N56=0,0,P56*MAX(0,N56-O56)/N56)*Objetivos!$B$7</f>
        <v>35225.9688515261</v>
      </c>
      <c r="R56" s="151">
        <f>MAX(0,SUMIFS(Objetivos!$I$26:$I$45,Objetivos!$E$26:$E$45,B56,Objetivos!$C$26:$C$45,"Único",Objetivos!$B$26:$B$45,Objetivos!$A$20)+SUMPRODUCT(((Objetivos!$C$26:$C$45="Renta")+(Objetivos!$C$26:$C$45="Jubilación"))*(Objetivos!$B$26:$B$45=Objetivos!$A$20)*(B56&gt;=Objetivos!$E$26:$E$45)*(B56&lt;Objetivos!$E$26:$E$45+Objetivos!$H$26:$H$45)*Objetivos!$G$26:$G$45)*12*(1+Objetivos!$B$6)^B56-N56)</f>
        <v>0</v>
      </c>
      <c r="S56" s="148">
        <f>IF(B56&gt;=Objetivos!$B$11,0,IF(B56=1,Objetivos!$E$21*12+Objetivos!$C$21+Objetivos!$D$21,Objetivos!$E$21*12*(1+Objetivos!$B$9)^(B56-1)))</f>
        <v>0</v>
      </c>
      <c r="T56" s="149">
        <f>MAX(0,(T55-W55)*(1+Objetivos!$B$21)+S56)</f>
        <v>233525.907105613</v>
      </c>
      <c r="U56" s="148">
        <f>MAX(0,U55-IF(T55=0,0,V55*U55/T55)+S56)</f>
        <v>42048.2274103199</v>
      </c>
      <c r="V56" s="150">
        <f>MIN(T56,SUMIFS(Objetivos!$I$26:$I$45,Objetivos!$E$26:$E$45,B56,Objetivos!$C$26:$C$45,"Único",Objetivos!$B$26:$B$45,Objetivos!$A$21)+SUMPRODUCT(((Objetivos!$C$26:$C$45="Renta")+(Objetivos!$C$26:$C$45="Jubilación"))*(Objetivos!$B$26:$B$45=Objetivos!$A$21)*(B56&gt;=Objetivos!$E$26:$E$45)*(B56&lt;Objetivos!$E$26:$E$45+Objetivos!$H$26:$H$45)*Objetivos!$G$26:$G$45)*12*(1+Objetivos!$B$6)^B56)</f>
        <v>10569.1093130884</v>
      </c>
      <c r="W56" s="148">
        <f>V56+IF(T56=0,0,V56*MAX(0,T56-U56)/T56)*Objetivos!$B$7</f>
        <v>12475.6415758929</v>
      </c>
      <c r="X56" s="151">
        <f>MAX(0,SUMIFS(Objetivos!$I$26:$I$45,Objetivos!$E$26:$E$45,B56,Objetivos!$C$26:$C$45,"Único",Objetivos!$B$26:$B$45,Objetivos!$A$21)+SUMPRODUCT(((Objetivos!$C$26:$C$45="Renta")+(Objetivos!$C$26:$C$45="Jubilación"))*(Objetivos!$B$26:$B$45=Objetivos!$A$21)*(B56&gt;=Objetivos!$E$26:$E$45)*(B56&lt;Objetivos!$E$26:$E$45+Objetivos!$H$26:$H$45)*Objetivos!$G$26:$G$45)*12*(1+Objetivos!$B$6)^B56-T56)</f>
        <v>0</v>
      </c>
    </row>
    <row r="57">
      <c r="A57" s="152">
        <f>Objetivos!$B$5+B57</f>
        <v>2078</v>
      </c>
      <c r="B57" s="153" t="n">
        <v>52</v>
      </c>
      <c r="C57" s="154">
        <f>H57+N57+T57</f>
        <v>1461393.27890062</v>
      </c>
      <c r="D57" s="154">
        <f>(H57-MAX(0,H57-I57)*Objetivos!$B$7)+(N57-MAX(0,N57-O57)*Objetivos!$B$7)+(T57-MAX(0,T57-U57)*Objetivos!$B$7)</f>
        <v>1202601.34199928</v>
      </c>
      <c r="E57" s="155">
        <f>G57+M57+S57</f>
        <v>0</v>
      </c>
      <c r="F57" s="156">
        <f>J57+P57+V57</f>
        <v>41166.6807744792</v>
      </c>
      <c r="G57" s="157">
        <f>IF(B57&gt;=Objetivos!$B$11,0,IF(B57=1,Objetivos!$E$19*12+Objetivos!$C$19+Objetivos!$D$19,Objetivos!$E$19*12*(1+Objetivos!$B$9)^(B57-1)))</f>
        <v>0</v>
      </c>
      <c r="H57" s="158">
        <f>MAX(0,(H56-K56)*(1+Objetivos!$B$19)+G57)</f>
        <v>442058.253675751</v>
      </c>
      <c r="I57" s="157">
        <f>MAX(0,I56-IF(H56=0,0,J56*I56/H56)+G57)</f>
        <v>143994.109707777</v>
      </c>
      <c r="J57" s="159">
        <f>MIN(H57,SUMIFS(Objetivos!$I$26:$I$45,Objetivos!$E$26:$E$45,B57,Objetivos!$C$26:$C$45,"Único",Objetivos!$B$26:$B$45,Objetivos!$A$19)+SUMPRODUCT(((Objetivos!$C$26:$C$45="Renta")+(Objetivos!$C$26:$C$45="Jubilación"))*(Objetivos!$B$26:$B$45=Objetivos!$A$19)*(B57&gt;=Objetivos!$E$26:$E$45)*(B57&lt;Objetivos!$E$26:$E$45+Objetivos!$H$26:$H$45)*Objetivos!$G$26:$G$45)*12*(1+Objetivos!$B$6)^B57)</f>
        <v>0</v>
      </c>
      <c r="K57" s="157">
        <f>J57+IF(H57=0,0,J57*MAX(0,H57-I57)/H57)*Objetivos!$B$7</f>
        <v>0</v>
      </c>
      <c r="L57" s="160">
        <f>MAX(0,SUMIFS(Objetivos!$I$26:$I$45,Objetivos!$E$26:$E$45,B57,Objetivos!$C$26:$C$45,"Único",Objetivos!$B$26:$B$45,Objetivos!$A$19)+SUMPRODUCT(((Objetivos!$C$26:$C$45="Renta")+(Objetivos!$C$26:$C$45="Jubilación"))*(Objetivos!$B$26:$B$45=Objetivos!$A$19)*(B57&gt;=Objetivos!$E$26:$E$45)*(B57&lt;Objetivos!$E$26:$E$45+Objetivos!$H$26:$H$45)*Objetivos!$G$26:$G$45)*12*(1+Objetivos!$B$6)^B57-H57)</f>
        <v>0</v>
      </c>
      <c r="M57" s="157">
        <f>IF(B57&gt;=Objetivos!$B$11,0,IF(B57=1,Objetivos!$E$20*12+Objetivos!$C$20+Objetivos!$D$20,Objetivos!$E$20*12*(1+Objetivos!$B$9)^(B57-1)))</f>
        <v>0</v>
      </c>
      <c r="N57" s="158">
        <f>MAX(0,(N56-Q56)*(1+Objetivos!$B$20)+M57)</f>
        <v>787232.246418659</v>
      </c>
      <c r="O57" s="157">
        <f>MAX(0,O56-IF(N56=0,0,P56*O56/N56)+M57)</f>
        <v>100927.009440439</v>
      </c>
      <c r="P57" s="159">
        <f>MIN(N57,SUMIFS(Objetivos!$I$26:$I$45,Objetivos!$E$26:$E$45,B57,Objetivos!$C$26:$C$45,"Único",Objetivos!$B$26:$B$45,Objetivos!$A$20)+SUMPRODUCT(((Objetivos!$C$26:$C$45="Renta")+(Objetivos!$C$26:$C$45="Jubilación"))*(Objetivos!$B$26:$B$45=Objetivos!$A$20)*(B57&gt;=Objetivos!$E$26:$E$45)*(B57&lt;Objetivos!$E$26:$E$45+Objetivos!$H$26:$H$45)*Objetivos!$G$26:$G$45)*12*(1+Objetivos!$B$6)^B57)</f>
        <v>30333.3437285636</v>
      </c>
      <c r="Q57" s="157">
        <f>P57+IF(N57=0,0,P57*MAX(0,N57-O57)/N57)*Objetivos!$B$7</f>
        <v>36151.1252093778</v>
      </c>
      <c r="R57" s="160">
        <f>MAX(0,SUMIFS(Objetivos!$I$26:$I$45,Objetivos!$E$26:$E$45,B57,Objetivos!$C$26:$C$45,"Único",Objetivos!$B$26:$B$45,Objetivos!$A$20)+SUMPRODUCT(((Objetivos!$C$26:$C$45="Renta")+(Objetivos!$C$26:$C$45="Jubilación"))*(Objetivos!$B$26:$B$45=Objetivos!$A$20)*(B57&gt;=Objetivos!$E$26:$E$45)*(B57&lt;Objetivos!$E$26:$E$45+Objetivos!$H$26:$H$45)*Objetivos!$G$26:$G$45)*12*(1+Objetivos!$B$6)^B57-N57)</f>
        <v>0</v>
      </c>
      <c r="S57" s="157">
        <f>IF(B57&gt;=Objetivos!$B$11,0,IF(B57=1,Objetivos!$E$21*12+Objetivos!$C$21+Objetivos!$D$21,Objetivos!$E$21*12*(1+Objetivos!$B$9)^(B57-1)))</f>
        <v>0</v>
      </c>
      <c r="T57" s="158">
        <f>MAX(0,(T56-W56)*(1+Objetivos!$B$21)+S57)</f>
        <v>232102.778806207</v>
      </c>
      <c r="U57" s="157">
        <f>MAX(0,U56-IF(T56=0,0,V56*U56/T56)+S57)</f>
        <v>40145.1738372519</v>
      </c>
      <c r="V57" s="159">
        <f>MIN(T57,SUMIFS(Objetivos!$I$26:$I$45,Objetivos!$E$26:$E$45,B57,Objetivos!$C$26:$C$45,"Único",Objetivos!$B$26:$B$45,Objetivos!$A$21)+SUMPRODUCT(((Objetivos!$C$26:$C$45="Renta")+(Objetivos!$C$26:$C$45="Jubilación"))*(Objetivos!$B$26:$B$45=Objetivos!$A$21)*(B57&gt;=Objetivos!$E$26:$E$45)*(B57&lt;Objetivos!$E$26:$E$45+Objetivos!$H$26:$H$45)*Objetivos!$G$26:$G$45)*12*(1+Objetivos!$B$6)^B57)</f>
        <v>10833.3370459156</v>
      </c>
      <c r="W57" s="157">
        <f>V57+IF(T57=0,0,V57*MAX(0,T57-U57)/T57)*Objetivos!$B$7</f>
        <v>12804.4427674726</v>
      </c>
      <c r="X57" s="160">
        <f>MAX(0,SUMIFS(Objetivos!$I$26:$I$45,Objetivos!$E$26:$E$45,B57,Objetivos!$C$26:$C$45,"Único",Objetivos!$B$26:$B$45,Objetivos!$A$21)+SUMPRODUCT(((Objetivos!$C$26:$C$45="Renta")+(Objetivos!$C$26:$C$45="Jubilación"))*(Objetivos!$B$26:$B$45=Objetivos!$A$21)*(B57&gt;=Objetivos!$E$26:$E$45)*(B57&lt;Objetivos!$E$26:$E$45+Objetivos!$H$26:$H$45)*Objetivos!$G$26:$G$45)*12*(1+Objetivos!$B$6)^B57-T57)</f>
        <v>0</v>
      </c>
    </row>
    <row r="58">
      <c r="A58" s="144">
        <f>Objetivos!$B$5+B58</f>
        <v>2079</v>
      </c>
      <c r="B58" s="145" t="n">
        <v>53</v>
      </c>
      <c r="C58" s="126">
        <f>H58+N58+T58</f>
        <v>1483939.53387691</v>
      </c>
      <c r="D58" s="126">
        <f>(H58-MAX(0,H58-I58)*Objetivos!$B$7)+(N58-MAX(0,N58-O58)*Objetivos!$B$7)+(T58-MAX(0,T58-U58)*Objetivos!$B$7)</f>
        <v>1218919.63831278</v>
      </c>
      <c r="E58" s="146">
        <f>G58+M58+S58</f>
        <v>0</v>
      </c>
      <c r="F58" s="147">
        <f>J58+P58+V58</f>
        <v>42195.8477938412</v>
      </c>
      <c r="G58" s="148">
        <f>IF(B58&gt;=Objetivos!$B$11,0,IF(B58=1,Objetivos!$E$19*12+Objetivos!$C$19+Objetivos!$D$19,Objetivos!$E$19*12*(1+Objetivos!$B$9)^(B58-1)))</f>
        <v>0</v>
      </c>
      <c r="H58" s="149">
        <f>MAX(0,(H57-K57)*(1+Objetivos!$B$19)+G58)</f>
        <v>457530.292554402</v>
      </c>
      <c r="I58" s="148">
        <f>MAX(0,I57-IF(H57=0,0,J57*I57/H57)+G58)</f>
        <v>143994.109707777</v>
      </c>
      <c r="J58" s="150">
        <f>MIN(H58,SUMIFS(Objetivos!$I$26:$I$45,Objetivos!$E$26:$E$45,B58,Objetivos!$C$26:$C$45,"Único",Objetivos!$B$26:$B$45,Objetivos!$A$19)+SUMPRODUCT(((Objetivos!$C$26:$C$45="Renta")+(Objetivos!$C$26:$C$45="Jubilación"))*(Objetivos!$B$26:$B$45=Objetivos!$A$19)*(B58&gt;=Objetivos!$E$26:$E$45)*(B58&lt;Objetivos!$E$26:$E$45+Objetivos!$H$26:$H$45)*Objetivos!$G$26:$G$45)*12*(1+Objetivos!$B$6)^B58)</f>
        <v>0</v>
      </c>
      <c r="K58" s="148">
        <f>J58+IF(H58=0,0,J58*MAX(0,H58-I58)/H58)*Objetivos!$B$7</f>
        <v>0</v>
      </c>
      <c r="L58" s="151">
        <f>MAX(0,SUMIFS(Objetivos!$I$26:$I$45,Objetivos!$E$26:$E$45,B58,Objetivos!$C$26:$C$45,"Único",Objetivos!$B$26:$B$45,Objetivos!$A$19)+SUMPRODUCT(((Objetivos!$C$26:$C$45="Renta")+(Objetivos!$C$26:$C$45="Jubilación"))*(Objetivos!$B$26:$B$45=Objetivos!$A$19)*(B58&gt;=Objetivos!$E$26:$E$45)*(B58&lt;Objetivos!$E$26:$E$45+Objetivos!$H$26:$H$45)*Objetivos!$G$26:$G$45)*12*(1+Objetivos!$B$6)^B58-H58)</f>
        <v>0</v>
      </c>
      <c r="M58" s="148">
        <f>IF(B58&gt;=Objetivos!$B$11,0,IF(B58=1,Objetivos!$E$20*12+Objetivos!$C$20+Objetivos!$D$20,Objetivos!$E$20*12*(1+Objetivos!$B$9)^(B58-1)))</f>
        <v>0</v>
      </c>
      <c r="N58" s="149">
        <f>MAX(0,(N57-Q57)*(1+Objetivos!$B$20)+M58)</f>
        <v>796145.988481838</v>
      </c>
      <c r="O58" s="148">
        <f>MAX(0,O57-IF(N57=0,0,P57*O57/N57)+M58)</f>
        <v>97038.1269883037</v>
      </c>
      <c r="P58" s="150">
        <f>MIN(N58,SUMIFS(Objetivos!$I$26:$I$45,Objetivos!$E$26:$E$45,B58,Objetivos!$C$26:$C$45,"Único",Objetivos!$B$26:$B$45,Objetivos!$A$20)+SUMPRODUCT(((Objetivos!$C$26:$C$45="Renta")+(Objetivos!$C$26:$C$45="Jubilación"))*(Objetivos!$B$26:$B$45=Objetivos!$A$20)*(B58&gt;=Objetivos!$E$26:$E$45)*(B58&lt;Objetivos!$E$26:$E$45+Objetivos!$H$26:$H$45)*Objetivos!$G$26:$G$45)*12*(1+Objetivos!$B$6)^B58)</f>
        <v>31091.6773217777</v>
      </c>
      <c r="Q58" s="148">
        <f>P58+IF(N58=0,0,P58*MAX(0,N58-O58)/N58)*Objetivos!$B$7</f>
        <v>37098.1334222566</v>
      </c>
      <c r="R58" s="151">
        <f>MAX(0,SUMIFS(Objetivos!$I$26:$I$45,Objetivos!$E$26:$E$45,B58,Objetivos!$C$26:$C$45,"Único",Objetivos!$B$26:$B$45,Objetivos!$A$20)+SUMPRODUCT(((Objetivos!$C$26:$C$45="Renta")+(Objetivos!$C$26:$C$45="Jubilación"))*(Objetivos!$B$26:$B$45=Objetivos!$A$20)*(B58&gt;=Objetivos!$E$26:$E$45)*(B58&lt;Objetivos!$E$26:$E$45+Objetivos!$H$26:$H$45)*Objetivos!$G$26:$G$45)*12*(1+Objetivos!$B$6)^B58-N58)</f>
        <v>0</v>
      </c>
      <c r="S58" s="148">
        <f>IF(B58&gt;=Objetivos!$B$11,0,IF(B58=1,Objetivos!$E$21*12+Objetivos!$C$21+Objetivos!$D$21,Objetivos!$E$21*12*(1+Objetivos!$B$9)^(B58-1)))</f>
        <v>0</v>
      </c>
      <c r="T58" s="149">
        <f>MAX(0,(T57-W57)*(1+Objetivos!$B$21)+S58)</f>
        <v>230263.252840671</v>
      </c>
      <c r="U58" s="148">
        <f>MAX(0,U57-IF(T57=0,0,V57*U57/T57)+S58)</f>
        <v>38271.408252959</v>
      </c>
      <c r="V58" s="150">
        <f>MIN(T58,SUMIFS(Objetivos!$I$26:$I$45,Objetivos!$E$26:$E$45,B58,Objetivos!$C$26:$C$45,"Único",Objetivos!$B$26:$B$45,Objetivos!$A$21)+SUMPRODUCT(((Objetivos!$C$26:$C$45="Renta")+(Objetivos!$C$26:$C$45="Jubilación"))*(Objetivos!$B$26:$B$45=Objetivos!$A$21)*(B58&gt;=Objetivos!$E$26:$E$45)*(B58&lt;Objetivos!$E$26:$E$45+Objetivos!$H$26:$H$45)*Objetivos!$G$26:$G$45)*12*(1+Objetivos!$B$6)^B58)</f>
        <v>11104.1704720635</v>
      </c>
      <c r="W58" s="148">
        <f>V58+IF(T58=0,0,V58*MAX(0,T58-U58)/T58)*Objetivos!$B$7</f>
        <v>13141.0575217964</v>
      </c>
      <c r="X58" s="151">
        <f>MAX(0,SUMIFS(Objetivos!$I$26:$I$45,Objetivos!$E$26:$E$45,B58,Objetivos!$C$26:$C$45,"Único",Objetivos!$B$26:$B$45,Objetivos!$A$21)+SUMPRODUCT(((Objetivos!$C$26:$C$45="Renta")+(Objetivos!$C$26:$C$45="Jubilación"))*(Objetivos!$B$26:$B$45=Objetivos!$A$21)*(B58&gt;=Objetivos!$E$26:$E$45)*(B58&lt;Objetivos!$E$26:$E$45+Objetivos!$H$26:$H$45)*Objetivos!$G$26:$G$45)*12*(1+Objetivos!$B$6)^B58-T58)</f>
        <v>0</v>
      </c>
    </row>
    <row r="59">
      <c r="A59" s="152">
        <f>Objetivos!$B$5+B59</f>
        <v>2080</v>
      </c>
      <c r="B59" s="153" t="n">
        <v>54</v>
      </c>
      <c r="C59" s="154">
        <f>H59+N59+T59</f>
        <v>1506112.88424178</v>
      </c>
      <c r="D59" s="154">
        <f>(H59-MAX(0,H59-I59)*Objetivos!$B$7)+(N59-MAX(0,N59-O59)*Objetivos!$B$7)+(T59-MAX(0,T59-U59)*Objetivos!$B$7)</f>
        <v>1234975.10823294</v>
      </c>
      <c r="E59" s="155">
        <f>G59+M59+S59</f>
        <v>0</v>
      </c>
      <c r="F59" s="156">
        <f>J59+P59+V59</f>
        <v>43250.7439886872</v>
      </c>
      <c r="G59" s="157">
        <f>IF(B59&gt;=Objetivos!$B$11,0,IF(B59=1,Objetivos!$E$19*12+Objetivos!$C$19+Objetivos!$D$19,Objetivos!$E$19*12*(1+Objetivos!$B$9)^(B59-1)))</f>
        <v>0</v>
      </c>
      <c r="H59" s="158">
        <f>MAX(0,(H58-K58)*(1+Objetivos!$B$19)+G59)</f>
        <v>473543.852793806</v>
      </c>
      <c r="I59" s="157">
        <f>MAX(0,I58-IF(H58=0,0,J58*I58/H58)+G59)</f>
        <v>143994.109707777</v>
      </c>
      <c r="J59" s="159">
        <f>MIN(H59,SUMIFS(Objetivos!$I$26:$I$45,Objetivos!$E$26:$E$45,B59,Objetivos!$C$26:$C$45,"Único",Objetivos!$B$26:$B$45,Objetivos!$A$19)+SUMPRODUCT(((Objetivos!$C$26:$C$45="Renta")+(Objetivos!$C$26:$C$45="Jubilación"))*(Objetivos!$B$26:$B$45=Objetivos!$A$19)*(B59&gt;=Objetivos!$E$26:$E$45)*(B59&lt;Objetivos!$E$26:$E$45+Objetivos!$H$26:$H$45)*Objetivos!$G$26:$G$45)*12*(1+Objetivos!$B$6)^B59)</f>
        <v>0</v>
      </c>
      <c r="K59" s="157">
        <f>J59+IF(H59=0,0,J59*MAX(0,H59-I59)/H59)*Objetivos!$B$7</f>
        <v>0</v>
      </c>
      <c r="L59" s="160">
        <f>MAX(0,SUMIFS(Objetivos!$I$26:$I$45,Objetivos!$E$26:$E$45,B59,Objetivos!$C$26:$C$45,"Único",Objetivos!$B$26:$B$45,Objetivos!$A$19)+SUMPRODUCT(((Objetivos!$C$26:$C$45="Renta")+(Objetivos!$C$26:$C$45="Jubilación"))*(Objetivos!$B$26:$B$45=Objetivos!$A$19)*(B59&gt;=Objetivos!$E$26:$E$45)*(B59&lt;Objetivos!$E$26:$E$45+Objetivos!$H$26:$H$45)*Objetivos!$G$26:$G$45)*12*(1+Objetivos!$B$6)^B59-H59)</f>
        <v>0</v>
      </c>
      <c r="M59" s="157">
        <f>IF(B59&gt;=Objetivos!$B$11,0,IF(B59=1,Objetivos!$E$20*12+Objetivos!$C$20+Objetivos!$D$20,Objetivos!$E$20*12*(1+Objetivos!$B$9)^(B59-1)))</f>
        <v>0</v>
      </c>
      <c r="N59" s="158">
        <f>MAX(0,(N58-Q58)*(1+Objetivos!$B$20)+M59)</f>
        <v>804590.726363157</v>
      </c>
      <c r="O59" s="157">
        <f>MAX(0,O58-IF(N58=0,0,P58*O58/N58)+M59)</f>
        <v>93248.5228505208</v>
      </c>
      <c r="P59" s="159">
        <f>MIN(N59,SUMIFS(Objetivos!$I$26:$I$45,Objetivos!$E$26:$E$45,B59,Objetivos!$C$26:$C$45,"Único",Objetivos!$B$26:$B$45,Objetivos!$A$20)+SUMPRODUCT(((Objetivos!$C$26:$C$45="Renta")+(Objetivos!$C$26:$C$45="Jubilación"))*(Objetivos!$B$26:$B$45=Objetivos!$A$20)*(B59&gt;=Objetivos!$E$26:$E$45)*(B59&lt;Objetivos!$E$26:$E$45+Objetivos!$H$26:$H$45)*Objetivos!$G$26:$G$45)*12*(1+Objetivos!$B$6)^B59)</f>
        <v>31868.9692548222</v>
      </c>
      <c r="Q59" s="157">
        <f>P59+IF(N59=0,0,P59*MAX(0,N59-O59)/N59)*Objetivos!$B$7</f>
        <v>38067.5783805969</v>
      </c>
      <c r="R59" s="160">
        <f>MAX(0,SUMIFS(Objetivos!$I$26:$I$45,Objetivos!$E$26:$E$45,B59,Objetivos!$C$26:$C$45,"Único",Objetivos!$B$26:$B$45,Objetivos!$A$20)+SUMPRODUCT(((Objetivos!$C$26:$C$45="Renta")+(Objetivos!$C$26:$C$45="Jubilación"))*(Objetivos!$B$26:$B$45=Objetivos!$A$20)*(B59&gt;=Objetivos!$E$26:$E$45)*(B59&lt;Objetivos!$E$26:$E$45+Objetivos!$H$26:$H$45)*Objetivos!$G$26:$G$45)*12*(1+Objetivos!$B$6)^B59-N59)</f>
        <v>0</v>
      </c>
      <c r="S59" s="157">
        <f>IF(B59&gt;=Objetivos!$B$11,0,IF(B59=1,Objetivos!$E$21*12+Objetivos!$C$21+Objetivos!$D$21,Objetivos!$E$21*12*(1+Objetivos!$B$9)^(B59-1)))</f>
        <v>0</v>
      </c>
      <c r="T59" s="158">
        <f>MAX(0,(T58-W58)*(1+Objetivos!$B$21)+S59)</f>
        <v>227978.305084818</v>
      </c>
      <c r="U59" s="157">
        <f>MAX(0,U58-IF(T58=0,0,V58*U58/T58)+S59)</f>
        <v>36425.8152796814</v>
      </c>
      <c r="V59" s="159">
        <f>MIN(T59,SUMIFS(Objetivos!$I$26:$I$45,Objetivos!$E$26:$E$45,B59,Objetivos!$C$26:$C$45,"Único",Objetivos!$B$26:$B$45,Objetivos!$A$21)+SUMPRODUCT(((Objetivos!$C$26:$C$45="Renta")+(Objetivos!$C$26:$C$45="Jubilación"))*(Objetivos!$B$26:$B$45=Objetivos!$A$21)*(B59&gt;=Objetivos!$E$26:$E$45)*(B59&lt;Objetivos!$E$26:$E$45+Objetivos!$H$26:$H$45)*Objetivos!$G$26:$G$45)*12*(1+Objetivos!$B$6)^B59)</f>
        <v>11381.7747338651</v>
      </c>
      <c r="W59" s="157">
        <f>V59+IF(T59=0,0,V59*MAX(0,T59-U59)/T59)*Objetivos!$B$7</f>
        <v>13485.6837147201</v>
      </c>
      <c r="X59" s="160">
        <f>MAX(0,SUMIFS(Objetivos!$I$26:$I$45,Objetivos!$E$26:$E$45,B59,Objetivos!$C$26:$C$45,"Único",Objetivos!$B$26:$B$45,Objetivos!$A$21)+SUMPRODUCT(((Objetivos!$C$26:$C$45="Renta")+(Objetivos!$C$26:$C$45="Jubilación"))*(Objetivos!$B$26:$B$45=Objetivos!$A$21)*(B59&gt;=Objetivos!$E$26:$E$45)*(B59&lt;Objetivos!$E$26:$E$45+Objetivos!$H$26:$H$45)*Objetivos!$G$26:$G$45)*12*(1+Objetivos!$B$6)^B59-T59)</f>
        <v>0</v>
      </c>
    </row>
    <row r="60">
      <c r="A60" s="144">
        <f>Objetivos!$B$5+B60</f>
        <v>2081</v>
      </c>
      <c r="B60" s="145" t="n">
        <v>55</v>
      </c>
      <c r="C60" s="126">
        <f>H60+N60+T60</f>
        <v>1527849.67694171</v>
      </c>
      <c r="D60" s="126">
        <f>(H60-MAX(0,H60-I60)*Objetivos!$B$7)+(N60-MAX(0,N60-O60)*Objetivos!$B$7)+(T60-MAX(0,T60-U60)*Objetivos!$B$7)</f>
        <v>1250717.160968</v>
      </c>
      <c r="E60" s="146">
        <f>G60+M60+S60</f>
        <v>0</v>
      </c>
      <c r="F60" s="147">
        <f>J60+P60+V60</f>
        <v>44332.0125884044</v>
      </c>
      <c r="G60" s="148">
        <f>IF(B60&gt;=Objetivos!$B$11,0,IF(B60=1,Objetivos!$E$19*12+Objetivos!$C$19+Objetivos!$D$19,Objetivos!$E$19*12*(1+Objetivos!$B$9)^(B60-1)))</f>
        <v>0</v>
      </c>
      <c r="H60" s="149">
        <f>MAX(0,(H59-K59)*(1+Objetivos!$B$19)+G60)</f>
        <v>490117.887641589</v>
      </c>
      <c r="I60" s="148">
        <f>MAX(0,I59-IF(H59=0,0,J59*I59/H59)+G60)</f>
        <v>143994.109707777</v>
      </c>
      <c r="J60" s="150">
        <f>MIN(H60,SUMIFS(Objetivos!$I$26:$I$45,Objetivos!$E$26:$E$45,B60,Objetivos!$C$26:$C$45,"Único",Objetivos!$B$26:$B$45,Objetivos!$A$19)+SUMPRODUCT(((Objetivos!$C$26:$C$45="Renta")+(Objetivos!$C$26:$C$45="Jubilación"))*(Objetivos!$B$26:$B$45=Objetivos!$A$19)*(B60&gt;=Objetivos!$E$26:$E$45)*(B60&lt;Objetivos!$E$26:$E$45+Objetivos!$H$26:$H$45)*Objetivos!$G$26:$G$45)*12*(1+Objetivos!$B$6)^B60)</f>
        <v>0</v>
      </c>
      <c r="K60" s="148">
        <f>J60+IF(H60=0,0,J60*MAX(0,H60-I60)/H60)*Objetivos!$B$7</f>
        <v>0</v>
      </c>
      <c r="L60" s="151">
        <f>MAX(0,SUMIFS(Objetivos!$I$26:$I$45,Objetivos!$E$26:$E$45,B60,Objetivos!$C$26:$C$45,"Único",Objetivos!$B$26:$B$45,Objetivos!$A$19)+SUMPRODUCT(((Objetivos!$C$26:$C$45="Renta")+(Objetivos!$C$26:$C$45="Jubilación"))*(Objetivos!$B$26:$B$45=Objetivos!$A$19)*(B60&gt;=Objetivos!$E$26:$E$45)*(B60&lt;Objetivos!$E$26:$E$45+Objetivos!$H$26:$H$45)*Objetivos!$G$26:$G$45)*12*(1+Objetivos!$B$6)^B60-H60)</f>
        <v>0</v>
      </c>
      <c r="M60" s="148">
        <f>IF(B60&gt;=Objetivos!$B$11,0,IF(B60=1,Objetivos!$E$20*12+Objetivos!$C$20+Objetivos!$D$20,Objetivos!$E$20*12*(1+Objetivos!$B$9)^(B60-1)))</f>
        <v>0</v>
      </c>
      <c r="N60" s="149">
        <f>MAX(0,(N59-Q59)*(1+Objetivos!$B$20)+M60)</f>
        <v>812514.536861514</v>
      </c>
      <c r="O60" s="148">
        <f>MAX(0,O59-IF(N59=0,0,P59*O59/N59)+M60)</f>
        <v>89555.0496219473</v>
      </c>
      <c r="P60" s="150">
        <f>MIN(N60,SUMIFS(Objetivos!$I$26:$I$45,Objetivos!$E$26:$E$45,B60,Objetivos!$C$26:$C$45,"Único",Objetivos!$B$26:$B$45,Objetivos!$A$20)+SUMPRODUCT(((Objetivos!$C$26:$C$45="Renta")+(Objetivos!$C$26:$C$45="Jubilación"))*(Objetivos!$B$26:$B$45=Objetivos!$A$20)*(B60&gt;=Objetivos!$E$26:$E$45)*(B60&lt;Objetivos!$E$26:$E$45+Objetivos!$H$26:$H$45)*Objetivos!$G$26:$G$45)*12*(1+Objetivos!$B$6)^B60)</f>
        <v>32665.6934861927</v>
      </c>
      <c r="Q60" s="148">
        <f>P60+IF(N60=0,0,P60*MAX(0,N60-O60)/N60)*Objetivos!$B$7</f>
        <v>39060.0579279062</v>
      </c>
      <c r="R60" s="151">
        <f>MAX(0,SUMIFS(Objetivos!$I$26:$I$45,Objetivos!$E$26:$E$45,B60,Objetivos!$C$26:$C$45,"Único",Objetivos!$B$26:$B$45,Objetivos!$A$20)+SUMPRODUCT(((Objetivos!$C$26:$C$45="Renta")+(Objetivos!$C$26:$C$45="Jubilación"))*(Objetivos!$B$26:$B$45=Objetivos!$A$20)*(B60&gt;=Objetivos!$E$26:$E$45)*(B60&lt;Objetivos!$E$26:$E$45+Objetivos!$H$26:$H$45)*Objetivos!$G$26:$G$45)*12*(1+Objetivos!$B$6)^B60-N60)</f>
        <v>0</v>
      </c>
      <c r="S60" s="148">
        <f>IF(B60&gt;=Objetivos!$B$11,0,IF(B60=1,Objetivos!$E$21*12+Objetivos!$C$21+Objetivos!$D$21,Objetivos!$E$21*12*(1+Objetivos!$B$9)^(B60-1)))</f>
        <v>0</v>
      </c>
      <c r="T60" s="149">
        <f>MAX(0,(T59-W59)*(1+Objetivos!$B$21)+S60)</f>
        <v>225217.252438603</v>
      </c>
      <c r="U60" s="148">
        <f>MAX(0,U59-IF(T59=0,0,V59*U59/T59)+S60)</f>
        <v>34607.2631860667</v>
      </c>
      <c r="V60" s="150">
        <f>MIN(T60,SUMIFS(Objetivos!$I$26:$I$45,Objetivos!$E$26:$E$45,B60,Objetivos!$C$26:$C$45,"Único",Objetivos!$B$26:$B$45,Objetivos!$A$21)+SUMPRODUCT(((Objetivos!$C$26:$C$45="Renta")+(Objetivos!$C$26:$C$45="Jubilación"))*(Objetivos!$B$26:$B$45=Objetivos!$A$21)*(B60&gt;=Objetivos!$E$26:$E$45)*(B60&lt;Objetivos!$E$26:$E$45+Objetivos!$H$26:$H$45)*Objetivos!$G$26:$G$45)*12*(1+Objetivos!$B$6)^B60)</f>
        <v>11666.3191022117</v>
      </c>
      <c r="W60" s="148">
        <f>V60+IF(T60=0,0,V60*MAX(0,T60-U60)/T60)*Objetivos!$B$7</f>
        <v>13838.5227216702</v>
      </c>
      <c r="X60" s="151">
        <f>MAX(0,SUMIFS(Objetivos!$I$26:$I$45,Objetivos!$E$26:$E$45,B60,Objetivos!$C$26:$C$45,"Único",Objetivos!$B$26:$B$45,Objetivos!$A$21)+SUMPRODUCT(((Objetivos!$C$26:$C$45="Renta")+(Objetivos!$C$26:$C$45="Jubilación"))*(Objetivos!$B$26:$B$45=Objetivos!$A$21)*(B60&gt;=Objetivos!$E$26:$E$45)*(B60&lt;Objetivos!$E$26:$E$45+Objetivos!$H$26:$H$45)*Objetivos!$G$26:$G$45)*12*(1+Objetivos!$B$6)^B60-T60)</f>
        <v>0</v>
      </c>
    </row>
    <row r="61">
      <c r="A61" s="152">
        <f>Objetivos!$B$5+B61</f>
        <v>2082</v>
      </c>
      <c r="B61" s="153" t="n">
        <v>56</v>
      </c>
      <c r="C61" s="154">
        <f>H61+N61+T61</f>
        <v>1549081.42758145</v>
      </c>
      <c r="D61" s="154">
        <f>(H61-MAX(0,H61-I61)*Objetivos!$B$7)+(N61-MAX(0,N61-O61)*Objetivos!$B$7)+(T61-MAX(0,T61-U61)*Objetivos!$B$7)</f>
        <v>1266091.45175873</v>
      </c>
      <c r="E61" s="155">
        <f>G61+M61+S61</f>
        <v>0</v>
      </c>
      <c r="F61" s="156">
        <f>J61+P61+V61</f>
        <v>45440.3129031145</v>
      </c>
      <c r="G61" s="157">
        <f>IF(B61&gt;=Objetivos!$B$11,0,IF(B61=1,Objetivos!$E$19*12+Objetivos!$C$19+Objetivos!$D$19,Objetivos!$E$19*12*(1+Objetivos!$B$9)^(B61-1)))</f>
        <v>0</v>
      </c>
      <c r="H61" s="158">
        <f>MAX(0,(H60-K60)*(1+Objetivos!$B$19)+G61)</f>
        <v>507272.013709045</v>
      </c>
      <c r="I61" s="157">
        <f>MAX(0,I60-IF(H60=0,0,J60*I60/H60)+G61)</f>
        <v>143994.109707777</v>
      </c>
      <c r="J61" s="159">
        <f>MIN(H61,SUMIFS(Objetivos!$I$26:$I$45,Objetivos!$E$26:$E$45,B61,Objetivos!$C$26:$C$45,"Único",Objetivos!$B$26:$B$45,Objetivos!$A$19)+SUMPRODUCT(((Objetivos!$C$26:$C$45="Renta")+(Objetivos!$C$26:$C$45="Jubilación"))*(Objetivos!$B$26:$B$45=Objetivos!$A$19)*(B61&gt;=Objetivos!$E$26:$E$45)*(B61&lt;Objetivos!$E$26:$E$45+Objetivos!$H$26:$H$45)*Objetivos!$G$26:$G$45)*12*(1+Objetivos!$B$6)^B61)</f>
        <v>0</v>
      </c>
      <c r="K61" s="157">
        <f>J61+IF(H61=0,0,J61*MAX(0,H61-I61)/H61)*Objetivos!$B$7</f>
        <v>0</v>
      </c>
      <c r="L61" s="160">
        <f>MAX(0,SUMIFS(Objetivos!$I$26:$I$45,Objetivos!$E$26:$E$45,B61,Objetivos!$C$26:$C$45,"Único",Objetivos!$B$26:$B$45,Objetivos!$A$19)+SUMPRODUCT(((Objetivos!$C$26:$C$45="Renta")+(Objetivos!$C$26:$C$45="Jubilación"))*(Objetivos!$B$26:$B$45=Objetivos!$A$19)*(B61&gt;=Objetivos!$E$26:$E$45)*(B61&lt;Objetivos!$E$26:$E$45+Objetivos!$H$26:$H$45)*Objetivos!$G$26:$G$45)*12*(1+Objetivos!$B$6)^B61-H61)</f>
        <v>0</v>
      </c>
      <c r="M61" s="157">
        <f>IF(B61&gt;=Objetivos!$B$11,0,IF(B61=1,Objetivos!$E$20*12+Objetivos!$C$20+Objetivos!$D$20,Objetivos!$E$20*12*(1+Objetivos!$B$9)^(B61-1)))</f>
        <v>0</v>
      </c>
      <c r="N61" s="158">
        <f>MAX(0,(N60-Q60)*(1+Objetivos!$B$20)+M61)</f>
        <v>819861.747669624</v>
      </c>
      <c r="O61" s="157">
        <f>MAX(0,O60-IF(N60=0,0,P60*O60/N60)+M61)</f>
        <v>85954.6490526342</v>
      </c>
      <c r="P61" s="159">
        <f>MIN(N61,SUMIFS(Objetivos!$I$26:$I$45,Objetivos!$E$26:$E$45,B61,Objetivos!$C$26:$C$45,"Único",Objetivos!$B$26:$B$45,Objetivos!$A$20)+SUMPRODUCT(((Objetivos!$C$26:$C$45="Renta")+(Objetivos!$C$26:$C$45="Jubilación"))*(Objetivos!$B$26:$B$45=Objetivos!$A$20)*(B61&gt;=Objetivos!$E$26:$E$45)*(B61&lt;Objetivos!$E$26:$E$45+Objetivos!$H$26:$H$45)*Objetivos!$G$26:$G$45)*12*(1+Objetivos!$B$6)^B61)</f>
        <v>33482.3358233475</v>
      </c>
      <c r="Q61" s="157">
        <f>P61+IF(N61=0,0,P61*MAX(0,N61-O61)/N61)*Objetivos!$B$7</f>
        <v>40076.1832396385</v>
      </c>
      <c r="R61" s="160">
        <f>MAX(0,SUMIFS(Objetivos!$I$26:$I$45,Objetivos!$E$26:$E$45,B61,Objetivos!$C$26:$C$45,"Único",Objetivos!$B$26:$B$45,Objetivos!$A$20)+SUMPRODUCT(((Objetivos!$C$26:$C$45="Renta")+(Objetivos!$C$26:$C$45="Jubilación"))*(Objetivos!$B$26:$B$45=Objetivos!$A$20)*(B61&gt;=Objetivos!$E$26:$E$45)*(B61&lt;Objetivos!$E$26:$E$45+Objetivos!$H$26:$H$45)*Objetivos!$G$26:$G$45)*12*(1+Objetivos!$B$6)^B61-N61)</f>
        <v>0</v>
      </c>
      <c r="S61" s="157">
        <f>IF(B61&gt;=Objetivos!$B$11,0,IF(B61=1,Objetivos!$E$21*12+Objetivos!$C$21+Objetivos!$D$21,Objetivos!$E$21*12*(1+Objetivos!$B$9)^(B61-1)))</f>
        <v>0</v>
      </c>
      <c r="T61" s="158">
        <f>MAX(0,(T60-W60)*(1+Objetivos!$B$21)+S61)</f>
        <v>221947.666202779</v>
      </c>
      <c r="U61" s="157">
        <f>MAX(0,U60-IF(T60=0,0,V60*U60/T60)+S61)</f>
        <v>32814.5968995754</v>
      </c>
      <c r="V61" s="159">
        <f>MIN(T61,SUMIFS(Objetivos!$I$26:$I$45,Objetivos!$E$26:$E$45,B61,Objetivos!$C$26:$C$45,"Único",Objetivos!$B$26:$B$45,Objetivos!$A$21)+SUMPRODUCT(((Objetivos!$C$26:$C$45="Renta")+(Objetivos!$C$26:$C$45="Jubilación"))*(Objetivos!$B$26:$B$45=Objetivos!$A$21)*(B61&gt;=Objetivos!$E$26:$E$45)*(B61&lt;Objetivos!$E$26:$E$45+Objetivos!$H$26:$H$45)*Objetivos!$G$26:$G$45)*12*(1+Objetivos!$B$6)^B61)</f>
        <v>11957.977079767</v>
      </c>
      <c r="W61" s="157">
        <f>V61+IF(T61=0,0,V61*MAX(0,T61-U61)/T61)*Objetivos!$B$7</f>
        <v>14199.7792497038</v>
      </c>
      <c r="X61" s="160">
        <f>MAX(0,SUMIFS(Objetivos!$I$26:$I$45,Objetivos!$E$26:$E$45,B61,Objetivos!$C$26:$C$45,"Único",Objetivos!$B$26:$B$45,Objetivos!$A$21)+SUMPRODUCT(((Objetivos!$C$26:$C$45="Renta")+(Objetivos!$C$26:$C$45="Jubilación"))*(Objetivos!$B$26:$B$45=Objetivos!$A$21)*(B61&gt;=Objetivos!$E$26:$E$45)*(B61&lt;Objetivos!$E$26:$E$45+Objetivos!$H$26:$H$45)*Objetivos!$G$26:$G$45)*12*(1+Objetivos!$B$6)^B61-T61)</f>
        <v>0</v>
      </c>
    </row>
    <row r="62">
      <c r="A62" s="144">
        <f>Objetivos!$B$5+B62</f>
        <v>2083</v>
      </c>
      <c r="B62" s="145" t="n">
        <v>57</v>
      </c>
      <c r="C62" s="126">
        <f>H62+N62+T62</f>
        <v>1569734.51378537</v>
      </c>
      <c r="D62" s="126">
        <f>(H62-MAX(0,H62-I62)*Objetivos!$B$7)+(N62-MAX(0,N62-O62)*Objetivos!$B$7)+(T62-MAX(0,T62-U62)*Objetivos!$B$7)</f>
        <v>1281039.63974533</v>
      </c>
      <c r="E62" s="146">
        <f>G62+M62+S62</f>
        <v>0</v>
      </c>
      <c r="F62" s="147">
        <f>J62+P62+V62</f>
        <v>0</v>
      </c>
      <c r="G62" s="148">
        <f>IF(B62&gt;=Objetivos!$B$11,0,IF(B62=1,Objetivos!$E$19*12+Objetivos!$C$19+Objetivos!$D$19,Objetivos!$E$19*12*(1+Objetivos!$B$9)^(B62-1)))</f>
        <v>0</v>
      </c>
      <c r="H62" s="149">
        <f>MAX(0,(H61-K61)*(1+Objetivos!$B$19)+G62)</f>
        <v>525026.534188861</v>
      </c>
      <c r="I62" s="148">
        <f>MAX(0,I61-IF(H61=0,0,J61*I61/H61)+G62)</f>
        <v>143994.109707777</v>
      </c>
      <c r="J62" s="150">
        <f>MIN(H62,SUMIFS(Objetivos!$I$26:$I$45,Objetivos!$E$26:$E$45,B62,Objetivos!$C$26:$C$45,"Único",Objetivos!$B$26:$B$45,Objetivos!$A$19)+SUMPRODUCT(((Objetivos!$C$26:$C$45="Renta")+(Objetivos!$C$26:$C$45="Jubilación"))*(Objetivos!$B$26:$B$45=Objetivos!$A$19)*(B62&gt;=Objetivos!$E$26:$E$45)*(B62&lt;Objetivos!$E$26:$E$45+Objetivos!$H$26:$H$45)*Objetivos!$G$26:$G$45)*12*(1+Objetivos!$B$6)^B62)</f>
        <v>0</v>
      </c>
      <c r="K62" s="148">
        <f>J62+IF(H62=0,0,J62*MAX(0,H62-I62)/H62)*Objetivos!$B$7</f>
        <v>0</v>
      </c>
      <c r="L62" s="151">
        <f>MAX(0,SUMIFS(Objetivos!$I$26:$I$45,Objetivos!$E$26:$E$45,B62,Objetivos!$C$26:$C$45,"Único",Objetivos!$B$26:$B$45,Objetivos!$A$19)+SUMPRODUCT(((Objetivos!$C$26:$C$45="Renta")+(Objetivos!$C$26:$C$45="Jubilación"))*(Objetivos!$B$26:$B$45=Objetivos!$A$19)*(B62&gt;=Objetivos!$E$26:$E$45)*(B62&lt;Objetivos!$E$26:$E$45+Objetivos!$H$26:$H$45)*Objetivos!$G$26:$G$45)*12*(1+Objetivos!$B$6)^B62-H62)</f>
        <v>0</v>
      </c>
      <c r="M62" s="148">
        <f>IF(B62&gt;=Objetivos!$B$11,0,IF(B62=1,Objetivos!$E$20*12+Objetivos!$C$20+Objetivos!$D$20,Objetivos!$E$20*12*(1+Objetivos!$B$9)^(B62-1)))</f>
        <v>0</v>
      </c>
      <c r="N62" s="149">
        <f>MAX(0,(N61-Q61)*(1+Objetivos!$B$20)+M62)</f>
        <v>826572.698295784</v>
      </c>
      <c r="O62" s="148">
        <f>MAX(0,O61-IF(N61=0,0,P61*O61/N61)+M62)</f>
        <v>82444.3469397004</v>
      </c>
      <c r="P62" s="150">
        <f>MIN(N62,SUMIFS(Objetivos!$I$26:$I$45,Objetivos!$E$26:$E$45,B62,Objetivos!$C$26:$C$45,"Único",Objetivos!$B$26:$B$45,Objetivos!$A$20)+SUMPRODUCT(((Objetivos!$C$26:$C$45="Renta")+(Objetivos!$C$26:$C$45="Jubilación"))*(Objetivos!$B$26:$B$45=Objetivos!$A$20)*(B62&gt;=Objetivos!$E$26:$E$45)*(B62&lt;Objetivos!$E$26:$E$45+Objetivos!$H$26:$H$45)*Objetivos!$G$26:$G$45)*12*(1+Objetivos!$B$6)^B62)</f>
        <v>0</v>
      </c>
      <c r="Q62" s="148">
        <f>P62+IF(N62=0,0,P62*MAX(0,N62-O62)/N62)*Objetivos!$B$7</f>
        <v>0</v>
      </c>
      <c r="R62" s="151">
        <f>MAX(0,SUMIFS(Objetivos!$I$26:$I$45,Objetivos!$E$26:$E$45,B62,Objetivos!$C$26:$C$45,"Único",Objetivos!$B$26:$B$45,Objetivos!$A$20)+SUMPRODUCT(((Objetivos!$C$26:$C$45="Renta")+(Objetivos!$C$26:$C$45="Jubilación"))*(Objetivos!$B$26:$B$45=Objetivos!$A$20)*(B62&gt;=Objetivos!$E$26:$E$45)*(B62&lt;Objetivos!$E$26:$E$45+Objetivos!$H$26:$H$45)*Objetivos!$G$26:$G$45)*12*(1+Objetivos!$B$6)^B62-N62)</f>
        <v>0</v>
      </c>
      <c r="S62" s="148">
        <f>IF(B62&gt;=Objetivos!$B$11,0,IF(B62=1,Objetivos!$E$21*12+Objetivos!$C$21+Objetivos!$D$21,Objetivos!$E$21*12*(1+Objetivos!$B$9)^(B62-1)))</f>
        <v>0</v>
      </c>
      <c r="T62" s="149">
        <f>MAX(0,(T61-W61)*(1+Objetivos!$B$21)+S62)</f>
        <v>218135.281300729</v>
      </c>
      <c r="U62" s="148">
        <f>MAX(0,U61-IF(T61=0,0,V61*U61/T61)+S62)</f>
        <v>31046.6296831578</v>
      </c>
      <c r="V62" s="150">
        <f>MIN(T62,SUMIFS(Objetivos!$I$26:$I$45,Objetivos!$E$26:$E$45,B62,Objetivos!$C$26:$C$45,"Único",Objetivos!$B$26:$B$45,Objetivos!$A$21)+SUMPRODUCT(((Objetivos!$C$26:$C$45="Renta")+(Objetivos!$C$26:$C$45="Jubilación"))*(Objetivos!$B$26:$B$45=Objetivos!$A$21)*(B62&gt;=Objetivos!$E$26:$E$45)*(B62&lt;Objetivos!$E$26:$E$45+Objetivos!$H$26:$H$45)*Objetivos!$G$26:$G$45)*12*(1+Objetivos!$B$6)^B62)</f>
        <v>0</v>
      </c>
      <c r="W62" s="148">
        <f>V62+IF(T62=0,0,V62*MAX(0,T62-U62)/T62)*Objetivos!$B$7</f>
        <v>0</v>
      </c>
      <c r="X62" s="151">
        <f>MAX(0,SUMIFS(Objetivos!$I$26:$I$45,Objetivos!$E$26:$E$45,B62,Objetivos!$C$26:$C$45,"Único",Objetivos!$B$26:$B$45,Objetivos!$A$21)+SUMPRODUCT(((Objetivos!$C$26:$C$45="Renta")+(Objetivos!$C$26:$C$45="Jubilación"))*(Objetivos!$B$26:$B$45=Objetivos!$A$21)*(B62&gt;=Objetivos!$E$26:$E$45)*(B62&lt;Objetivos!$E$26:$E$45+Objetivos!$H$26:$H$45)*Objetivos!$G$26:$G$45)*12*(1+Objetivos!$B$6)^B62-T62)</f>
        <v>0</v>
      </c>
    </row>
    <row r="63">
      <c r="A63" s="152">
        <f>Objetivos!$B$5+B63</f>
        <v>2084</v>
      </c>
      <c r="B63" s="153" t="n">
        <v>58</v>
      </c>
      <c r="C63" s="154">
        <f>H63+N63+T63</f>
        <v>1648611.56844477</v>
      </c>
      <c r="D63" s="154">
        <f>(H63-MAX(0,H63-I63)*Objetivos!$B$7)+(N63-MAX(0,N63-O63)*Objetivos!$B$7)+(T63-MAX(0,T63-U63)*Objetivos!$B$7)</f>
        <v>1342563.74237966</v>
      </c>
      <c r="E63" s="155">
        <f>G63+M63+S63</f>
        <v>0</v>
      </c>
      <c r="F63" s="156">
        <f>J63+P63+V63</f>
        <v>0</v>
      </c>
      <c r="G63" s="157">
        <f>IF(B63&gt;=Objetivos!$B$11,0,IF(B63=1,Objetivos!$E$19*12+Objetivos!$C$19+Objetivos!$D$19,Objetivos!$E$19*12*(1+Objetivos!$B$9)^(B63-1)))</f>
        <v>0</v>
      </c>
      <c r="H63" s="158">
        <f>MAX(0,(H62-K62)*(1+Objetivos!$B$19)+G63)</f>
        <v>543402.462885471</v>
      </c>
      <c r="I63" s="157">
        <f>MAX(0,I62-IF(H62=0,0,J62*I62/H62)+G63)</f>
        <v>143994.109707777</v>
      </c>
      <c r="J63" s="159">
        <f>MIN(H63,SUMIFS(Objetivos!$I$26:$I$45,Objetivos!$E$26:$E$45,B63,Objetivos!$C$26:$C$45,"Único",Objetivos!$B$26:$B$45,Objetivos!$A$19)+SUMPRODUCT(((Objetivos!$C$26:$C$45="Renta")+(Objetivos!$C$26:$C$45="Jubilación"))*(Objetivos!$B$26:$B$45=Objetivos!$A$19)*(B63&gt;=Objetivos!$E$26:$E$45)*(B63&lt;Objetivos!$E$26:$E$45+Objetivos!$H$26:$H$45)*Objetivos!$G$26:$G$45)*12*(1+Objetivos!$B$6)^B63)</f>
        <v>0</v>
      </c>
      <c r="K63" s="157">
        <f>J63+IF(H63=0,0,J63*MAX(0,H63-I63)/H63)*Objetivos!$B$7</f>
        <v>0</v>
      </c>
      <c r="L63" s="160">
        <f>MAX(0,SUMIFS(Objetivos!$I$26:$I$45,Objetivos!$E$26:$E$45,B63,Objetivos!$C$26:$C$45,"Único",Objetivos!$B$26:$B$45,Objetivos!$A$19)+SUMPRODUCT(((Objetivos!$C$26:$C$45="Renta")+(Objetivos!$C$26:$C$45="Jubilación"))*(Objetivos!$B$26:$B$45=Objetivos!$A$19)*(B63&gt;=Objetivos!$E$26:$E$45)*(B63&lt;Objetivos!$E$26:$E$45+Objetivos!$H$26:$H$45)*Objetivos!$G$26:$G$45)*12*(1+Objetivos!$B$6)^B63-H63)</f>
        <v>0</v>
      </c>
      <c r="M63" s="157">
        <f>IF(B63&gt;=Objetivos!$B$11,0,IF(B63=1,Objetivos!$E$20*12+Objetivos!$C$20+Objetivos!$D$20,Objetivos!$E$20*12*(1+Objetivos!$B$9)^(B63-1)))</f>
        <v>0</v>
      </c>
      <c r="N63" s="158">
        <f>MAX(0,(N62-Q62)*(1+Objetivos!$B$20)+M63)</f>
        <v>876167.060193532</v>
      </c>
      <c r="O63" s="157">
        <f>MAX(0,O62-IF(N62=0,0,P62*O62/N62)+M63)</f>
        <v>82444.3469397004</v>
      </c>
      <c r="P63" s="159">
        <f>MIN(N63,SUMIFS(Objetivos!$I$26:$I$45,Objetivos!$E$26:$E$45,B63,Objetivos!$C$26:$C$45,"Único",Objetivos!$B$26:$B$45,Objetivos!$A$20)+SUMPRODUCT(((Objetivos!$C$26:$C$45="Renta")+(Objetivos!$C$26:$C$45="Jubilación"))*(Objetivos!$B$26:$B$45=Objetivos!$A$20)*(B63&gt;=Objetivos!$E$26:$E$45)*(B63&lt;Objetivos!$E$26:$E$45+Objetivos!$H$26:$H$45)*Objetivos!$G$26:$G$45)*12*(1+Objetivos!$B$6)^B63)</f>
        <v>0</v>
      </c>
      <c r="Q63" s="157">
        <f>P63+IF(N63=0,0,P63*MAX(0,N63-O63)/N63)*Objetivos!$B$7</f>
        <v>0</v>
      </c>
      <c r="R63" s="160">
        <f>MAX(0,SUMIFS(Objetivos!$I$26:$I$45,Objetivos!$E$26:$E$45,B63,Objetivos!$C$26:$C$45,"Único",Objetivos!$B$26:$B$45,Objetivos!$A$20)+SUMPRODUCT(((Objetivos!$C$26:$C$45="Renta")+(Objetivos!$C$26:$C$45="Jubilación"))*(Objetivos!$B$26:$B$45=Objetivos!$A$20)*(B63&gt;=Objetivos!$E$26:$E$45)*(B63&lt;Objetivos!$E$26:$E$45+Objetivos!$H$26:$H$45)*Objetivos!$G$26:$G$45)*12*(1+Objetivos!$B$6)^B63-N63)</f>
        <v>0</v>
      </c>
      <c r="S63" s="157">
        <f>IF(B63&gt;=Objetivos!$B$11,0,IF(B63=1,Objetivos!$E$21*12+Objetivos!$C$21+Objetivos!$D$21,Objetivos!$E$21*12*(1+Objetivos!$B$9)^(B63-1)))</f>
        <v>0</v>
      </c>
      <c r="T63" s="158">
        <f>MAX(0,(T62-W62)*(1+Objetivos!$B$21)+S63)</f>
        <v>229042.045365766</v>
      </c>
      <c r="U63" s="157">
        <f>MAX(0,U62-IF(T62=0,0,V62*U62/T62)+S63)</f>
        <v>31046.6296831578</v>
      </c>
      <c r="V63" s="159">
        <f>MIN(T63,SUMIFS(Objetivos!$I$26:$I$45,Objetivos!$E$26:$E$45,B63,Objetivos!$C$26:$C$45,"Único",Objetivos!$B$26:$B$45,Objetivos!$A$21)+SUMPRODUCT(((Objetivos!$C$26:$C$45="Renta")+(Objetivos!$C$26:$C$45="Jubilación"))*(Objetivos!$B$26:$B$45=Objetivos!$A$21)*(B63&gt;=Objetivos!$E$26:$E$45)*(B63&lt;Objetivos!$E$26:$E$45+Objetivos!$H$26:$H$45)*Objetivos!$G$26:$G$45)*12*(1+Objetivos!$B$6)^B63)</f>
        <v>0</v>
      </c>
      <c r="W63" s="157">
        <f>V63+IF(T63=0,0,V63*MAX(0,T63-U63)/T63)*Objetivos!$B$7</f>
        <v>0</v>
      </c>
      <c r="X63" s="160">
        <f>MAX(0,SUMIFS(Objetivos!$I$26:$I$45,Objetivos!$E$26:$E$45,B63,Objetivos!$C$26:$C$45,"Único",Objetivos!$B$26:$B$45,Objetivos!$A$21)+SUMPRODUCT(((Objetivos!$C$26:$C$45="Renta")+(Objetivos!$C$26:$C$45="Jubilación"))*(Objetivos!$B$26:$B$45=Objetivos!$A$21)*(B63&gt;=Objetivos!$E$26:$E$45)*(B63&lt;Objetivos!$E$26:$E$45+Objetivos!$H$26:$H$45)*Objetivos!$G$26:$G$45)*12*(1+Objetivos!$B$6)^B63-T63)</f>
        <v>0</v>
      </c>
    </row>
    <row r="64">
      <c r="A64" s="144">
        <f>Objetivos!$B$5+B64</f>
        <v>2085</v>
      </c>
      <c r="B64" s="145" t="n">
        <v>59</v>
      </c>
      <c r="C64" s="126">
        <f>H64+N64+T64</f>
        <v>1731652.78052566</v>
      </c>
      <c r="D64" s="126">
        <f>(H64-MAX(0,H64-I64)*Objetivos!$B$7)+(N64-MAX(0,N64-O64)*Objetivos!$B$7)+(T64-MAX(0,T64-U64)*Objetivos!$B$7)</f>
        <v>1407335.88780275</v>
      </c>
      <c r="E64" s="146">
        <f>G64+M64+S64</f>
        <v>0</v>
      </c>
      <c r="F64" s="147">
        <f>J64+P64+V64</f>
        <v>0</v>
      </c>
      <c r="G64" s="148">
        <f>IF(B64&gt;=Objetivos!$B$11,0,IF(B64=1,Objetivos!$E$19*12+Objetivos!$C$19+Objetivos!$D$19,Objetivos!$E$19*12*(1+Objetivos!$B$9)^(B64-1)))</f>
        <v>0</v>
      </c>
      <c r="H64" s="149">
        <f>MAX(0,(H63-K63)*(1+Objetivos!$B$19)+G64)</f>
        <v>562421.549086463</v>
      </c>
      <c r="I64" s="148">
        <f>MAX(0,I63-IF(H63=0,0,J63*I63/H63)+G64)</f>
        <v>143994.109707777</v>
      </c>
      <c r="J64" s="150">
        <f>MIN(H64,SUMIFS(Objetivos!$I$26:$I$45,Objetivos!$E$26:$E$45,B64,Objetivos!$C$26:$C$45,"Único",Objetivos!$B$26:$B$45,Objetivos!$A$19)+SUMPRODUCT(((Objetivos!$C$26:$C$45="Renta")+(Objetivos!$C$26:$C$45="Jubilación"))*(Objetivos!$B$26:$B$45=Objetivos!$A$19)*(B64&gt;=Objetivos!$E$26:$E$45)*(B64&lt;Objetivos!$E$26:$E$45+Objetivos!$H$26:$H$45)*Objetivos!$G$26:$G$45)*12*(1+Objetivos!$B$6)^B64)</f>
        <v>0</v>
      </c>
      <c r="K64" s="148">
        <f>J64+IF(H64=0,0,J64*MAX(0,H64-I64)/H64)*Objetivos!$B$7</f>
        <v>0</v>
      </c>
      <c r="L64" s="151">
        <f>MAX(0,SUMIFS(Objetivos!$I$26:$I$45,Objetivos!$E$26:$E$45,B64,Objetivos!$C$26:$C$45,"Único",Objetivos!$B$26:$B$45,Objetivos!$A$19)+SUMPRODUCT(((Objetivos!$C$26:$C$45="Renta")+(Objetivos!$C$26:$C$45="Jubilación"))*(Objetivos!$B$26:$B$45=Objetivos!$A$19)*(B64&gt;=Objetivos!$E$26:$E$45)*(B64&lt;Objetivos!$E$26:$E$45+Objetivos!$H$26:$H$45)*Objetivos!$G$26:$G$45)*12*(1+Objetivos!$B$6)^B64-H64)</f>
        <v>0</v>
      </c>
      <c r="M64" s="148">
        <f>IF(B64&gt;=Objetivos!$B$11,0,IF(B64=1,Objetivos!$E$20*12+Objetivos!$C$20+Objetivos!$D$20,Objetivos!$E$20*12*(1+Objetivos!$B$9)^(B64-1)))</f>
        <v>0</v>
      </c>
      <c r="N64" s="149">
        <f>MAX(0,(N63-Q63)*(1+Objetivos!$B$20)+M64)</f>
        <v>928737.083805144</v>
      </c>
      <c r="O64" s="148">
        <f>MAX(0,O63-IF(N63=0,0,P63*O63/N63)+M64)</f>
        <v>82444.3469397004</v>
      </c>
      <c r="P64" s="150">
        <f>MIN(N64,SUMIFS(Objetivos!$I$26:$I$45,Objetivos!$E$26:$E$45,B64,Objetivos!$C$26:$C$45,"Único",Objetivos!$B$26:$B$45,Objetivos!$A$20)+SUMPRODUCT(((Objetivos!$C$26:$C$45="Renta")+(Objetivos!$C$26:$C$45="Jubilación"))*(Objetivos!$B$26:$B$45=Objetivos!$A$20)*(B64&gt;=Objetivos!$E$26:$E$45)*(B64&lt;Objetivos!$E$26:$E$45+Objetivos!$H$26:$H$45)*Objetivos!$G$26:$G$45)*12*(1+Objetivos!$B$6)^B64)</f>
        <v>0</v>
      </c>
      <c r="Q64" s="148">
        <f>P64+IF(N64=0,0,P64*MAX(0,N64-O64)/N64)*Objetivos!$B$7</f>
        <v>0</v>
      </c>
      <c r="R64" s="151">
        <f>MAX(0,SUMIFS(Objetivos!$I$26:$I$45,Objetivos!$E$26:$E$45,B64,Objetivos!$C$26:$C$45,"Único",Objetivos!$B$26:$B$45,Objetivos!$A$20)+SUMPRODUCT(((Objetivos!$C$26:$C$45="Renta")+(Objetivos!$C$26:$C$45="Jubilación"))*(Objetivos!$B$26:$B$45=Objetivos!$A$20)*(B64&gt;=Objetivos!$E$26:$E$45)*(B64&lt;Objetivos!$E$26:$E$45+Objetivos!$H$26:$H$45)*Objetivos!$G$26:$G$45)*12*(1+Objetivos!$B$6)^B64-N64)</f>
        <v>0</v>
      </c>
      <c r="S64" s="148">
        <f>IF(B64&gt;=Objetivos!$B$11,0,IF(B64=1,Objetivos!$E$21*12+Objetivos!$C$21+Objetivos!$D$21,Objetivos!$E$21*12*(1+Objetivos!$B$9)^(B64-1)))</f>
        <v>0</v>
      </c>
      <c r="T64" s="149">
        <f>MAX(0,(T63-W63)*(1+Objetivos!$B$21)+S64)</f>
        <v>240494.147634054</v>
      </c>
      <c r="U64" s="148">
        <f>MAX(0,U63-IF(T63=0,0,V63*U63/T63)+S64)</f>
        <v>31046.6296831578</v>
      </c>
      <c r="V64" s="150">
        <f>MIN(T64,SUMIFS(Objetivos!$I$26:$I$45,Objetivos!$E$26:$E$45,B64,Objetivos!$C$26:$C$45,"Único",Objetivos!$B$26:$B$45,Objetivos!$A$21)+SUMPRODUCT(((Objetivos!$C$26:$C$45="Renta")+(Objetivos!$C$26:$C$45="Jubilación"))*(Objetivos!$B$26:$B$45=Objetivos!$A$21)*(B64&gt;=Objetivos!$E$26:$E$45)*(B64&lt;Objetivos!$E$26:$E$45+Objetivos!$H$26:$H$45)*Objetivos!$G$26:$G$45)*12*(1+Objetivos!$B$6)^B64)</f>
        <v>0</v>
      </c>
      <c r="W64" s="148">
        <f>V64+IF(T64=0,0,V64*MAX(0,T64-U64)/T64)*Objetivos!$B$7</f>
        <v>0</v>
      </c>
      <c r="X64" s="151">
        <f>MAX(0,SUMIFS(Objetivos!$I$26:$I$45,Objetivos!$E$26:$E$45,B64,Objetivos!$C$26:$C$45,"Único",Objetivos!$B$26:$B$45,Objetivos!$A$21)+SUMPRODUCT(((Objetivos!$C$26:$C$45="Renta")+(Objetivos!$C$26:$C$45="Jubilación"))*(Objetivos!$B$26:$B$45=Objetivos!$A$21)*(B64&gt;=Objetivos!$E$26:$E$45)*(B64&lt;Objetivos!$E$26:$E$45+Objetivos!$H$26:$H$45)*Objetivos!$G$26:$G$45)*12*(1+Objetivos!$B$6)^B64-T64)</f>
        <v>0</v>
      </c>
    </row>
    <row r="65">
      <c r="A65" s="152">
        <f>Objetivos!$B$5+B65</f>
        <v>2086</v>
      </c>
      <c r="B65" s="153" t="n">
        <v>60</v>
      </c>
      <c r="C65" s="154">
        <f>H65+N65+T65</f>
        <v>1819086.4671537</v>
      </c>
      <c r="D65" s="154">
        <f>(H65-MAX(0,H65-I65)*Objetivos!$B$7)+(N65-MAX(0,N65-O65)*Objetivos!$B$7)+(T65-MAX(0,T65-U65)*Objetivos!$B$7)</f>
        <v>1475534.16337262</v>
      </c>
      <c r="E65" s="155">
        <f>G65+M65+S65</f>
        <v>0</v>
      </c>
      <c r="F65" s="156">
        <f>J65+P65+V65</f>
        <v>0</v>
      </c>
      <c r="G65" s="157">
        <f>IF(B65&gt;=Objetivos!$B$11,0,IF(B65=1,Objetivos!$E$19*12+Objetivos!$C$19+Objetivos!$D$19,Objetivos!$E$19*12*(1+Objetivos!$B$9)^(B65-1)))</f>
        <v>0</v>
      </c>
      <c r="H65" s="158">
        <f>MAX(0,(H64-K64)*(1+Objetivos!$B$19)+G65)</f>
        <v>582106.303304489</v>
      </c>
      <c r="I65" s="157">
        <f>MAX(0,I64-IF(H64=0,0,J64*I64/H64)+G65)</f>
        <v>143994.109707777</v>
      </c>
      <c r="J65" s="159">
        <f>MIN(H65,SUMIFS(Objetivos!$I$26:$I$45,Objetivos!$E$26:$E$45,B65,Objetivos!$C$26:$C$45,"Único",Objetivos!$B$26:$B$45,Objetivos!$A$19)+SUMPRODUCT(((Objetivos!$C$26:$C$45="Renta")+(Objetivos!$C$26:$C$45="Jubilación"))*(Objetivos!$B$26:$B$45=Objetivos!$A$19)*(B65&gt;=Objetivos!$E$26:$E$45)*(B65&lt;Objetivos!$E$26:$E$45+Objetivos!$H$26:$H$45)*Objetivos!$G$26:$G$45)*12*(1+Objetivos!$B$6)^B65)</f>
        <v>0</v>
      </c>
      <c r="K65" s="157">
        <f>J65+IF(H65=0,0,J65*MAX(0,H65-I65)/H65)*Objetivos!$B$7</f>
        <v>0</v>
      </c>
      <c r="L65" s="160">
        <f>MAX(0,SUMIFS(Objetivos!$I$26:$I$45,Objetivos!$E$26:$E$45,B65,Objetivos!$C$26:$C$45,"Único",Objetivos!$B$26:$B$45,Objetivos!$A$19)+SUMPRODUCT(((Objetivos!$C$26:$C$45="Renta")+(Objetivos!$C$26:$C$45="Jubilación"))*(Objetivos!$B$26:$B$45=Objetivos!$A$19)*(B65&gt;=Objetivos!$E$26:$E$45)*(B65&lt;Objetivos!$E$26:$E$45+Objetivos!$H$26:$H$45)*Objetivos!$G$26:$G$45)*12*(1+Objetivos!$B$6)^B65-H65)</f>
        <v>0</v>
      </c>
      <c r="M65" s="157">
        <f>IF(B65&gt;=Objetivos!$B$11,0,IF(B65=1,Objetivos!$E$20*12+Objetivos!$C$20+Objetivos!$D$20,Objetivos!$E$20*12*(1+Objetivos!$B$9)^(B65-1)))</f>
        <v>0</v>
      </c>
      <c r="N65" s="158">
        <f>MAX(0,(N64-Q64)*(1+Objetivos!$B$20)+M65)</f>
        <v>984461.308833452</v>
      </c>
      <c r="O65" s="157">
        <f>MAX(0,O64-IF(N64=0,0,P64*O64/N64)+M65)</f>
        <v>82444.3469397004</v>
      </c>
      <c r="P65" s="159">
        <f>MIN(N65,SUMIFS(Objetivos!$I$26:$I$45,Objetivos!$E$26:$E$45,B65,Objetivos!$C$26:$C$45,"Único",Objetivos!$B$26:$B$45,Objetivos!$A$20)+SUMPRODUCT(((Objetivos!$C$26:$C$45="Renta")+(Objetivos!$C$26:$C$45="Jubilación"))*(Objetivos!$B$26:$B$45=Objetivos!$A$20)*(B65&gt;=Objetivos!$E$26:$E$45)*(B65&lt;Objetivos!$E$26:$E$45+Objetivos!$H$26:$H$45)*Objetivos!$G$26:$G$45)*12*(1+Objetivos!$B$6)^B65)</f>
        <v>0</v>
      </c>
      <c r="Q65" s="157">
        <f>P65+IF(N65=0,0,P65*MAX(0,N65-O65)/N65)*Objetivos!$B$7</f>
        <v>0</v>
      </c>
      <c r="R65" s="160">
        <f>MAX(0,SUMIFS(Objetivos!$I$26:$I$45,Objetivos!$E$26:$E$45,B65,Objetivos!$C$26:$C$45,"Único",Objetivos!$B$26:$B$45,Objetivos!$A$20)+SUMPRODUCT(((Objetivos!$C$26:$C$45="Renta")+(Objetivos!$C$26:$C$45="Jubilación"))*(Objetivos!$B$26:$B$45=Objetivos!$A$20)*(B65&gt;=Objetivos!$E$26:$E$45)*(B65&lt;Objetivos!$E$26:$E$45+Objetivos!$H$26:$H$45)*Objetivos!$G$26:$G$45)*12*(1+Objetivos!$B$6)^B65-N65)</f>
        <v>0</v>
      </c>
      <c r="S65" s="157">
        <f>IF(B65&gt;=Objetivos!$B$11,0,IF(B65=1,Objetivos!$E$21*12+Objetivos!$C$21+Objetivos!$D$21,Objetivos!$E$21*12*(1+Objetivos!$B$9)^(B65-1)))</f>
        <v>0</v>
      </c>
      <c r="T65" s="158">
        <f>MAX(0,(T64-W64)*(1+Objetivos!$B$21)+S65)</f>
        <v>252518.855015757</v>
      </c>
      <c r="U65" s="157">
        <f>MAX(0,U64-IF(T64=0,0,V64*U64/T64)+S65)</f>
        <v>31046.6296831578</v>
      </c>
      <c r="V65" s="159">
        <f>MIN(T65,SUMIFS(Objetivos!$I$26:$I$45,Objetivos!$E$26:$E$45,B65,Objetivos!$C$26:$C$45,"Único",Objetivos!$B$26:$B$45,Objetivos!$A$21)+SUMPRODUCT(((Objetivos!$C$26:$C$45="Renta")+(Objetivos!$C$26:$C$45="Jubilación"))*(Objetivos!$B$26:$B$45=Objetivos!$A$21)*(B65&gt;=Objetivos!$E$26:$E$45)*(B65&lt;Objetivos!$E$26:$E$45+Objetivos!$H$26:$H$45)*Objetivos!$G$26:$G$45)*12*(1+Objetivos!$B$6)^B65)</f>
        <v>0</v>
      </c>
      <c r="W65" s="157">
        <f>V65+IF(T65=0,0,V65*MAX(0,T65-U65)/T65)*Objetivos!$B$7</f>
        <v>0</v>
      </c>
      <c r="X65" s="160">
        <f>MAX(0,SUMIFS(Objetivos!$I$26:$I$45,Objetivos!$E$26:$E$45,B65,Objetivos!$C$26:$C$45,"Único",Objetivos!$B$26:$B$45,Objetivos!$A$21)+SUMPRODUCT(((Objetivos!$C$26:$C$45="Renta")+(Objetivos!$C$26:$C$45="Jubilación"))*(Objetivos!$B$26:$B$45=Objetivos!$A$21)*(B65&gt;=Objetivos!$E$26:$E$45)*(B65&lt;Objetivos!$E$26:$E$45+Objetivos!$H$26:$H$45)*Objetivos!$G$26:$G$45)*12*(1+Objetivos!$B$6)^B65-T65)</f>
        <v>0</v>
      </c>
    </row>
    <row r="66">
      <c r="A66" s="144">
        <f>Objetivos!$B$5+B66</f>
        <v>2087</v>
      </c>
      <c r="B66" s="145" t="n">
        <v>61</v>
      </c>
      <c r="C66" s="126">
        <f>H66+N66+T66</f>
        <v>1911153.80905015</v>
      </c>
      <c r="D66" s="126">
        <f>(H66-MAX(0,H66-I66)*Objetivos!$B$7)+(N66-MAX(0,N66-O66)*Objetivos!$B$7)+(T66-MAX(0,T66-U66)*Objetivos!$B$7)</f>
        <v>1547346.69005186</v>
      </c>
      <c r="E66" s="146">
        <f>G66+M66+S66</f>
        <v>0</v>
      </c>
      <c r="F66" s="147">
        <f>J66+P66+V66</f>
        <v>0</v>
      </c>
      <c r="G66" s="148">
        <f>IF(B66&gt;=Objetivos!$B$11,0,IF(B66=1,Objetivos!$E$19*12+Objetivos!$C$19+Objetivos!$D$19,Objetivos!$E$19*12*(1+Objetivos!$B$9)^(B66-1)))</f>
        <v>0</v>
      </c>
      <c r="H66" s="149">
        <f>MAX(0,(H65-K65)*(1+Objetivos!$B$19)+G66)</f>
        <v>602480.023920146</v>
      </c>
      <c r="I66" s="148">
        <f>MAX(0,I65-IF(H65=0,0,J65*I65/H65)+G66)</f>
        <v>143994.109707777</v>
      </c>
      <c r="J66" s="150">
        <f>MIN(H66,SUMIFS(Objetivos!$I$26:$I$45,Objetivos!$E$26:$E$45,B66,Objetivos!$C$26:$C$45,"Único",Objetivos!$B$26:$B$45,Objetivos!$A$19)+SUMPRODUCT(((Objetivos!$C$26:$C$45="Renta")+(Objetivos!$C$26:$C$45="Jubilación"))*(Objetivos!$B$26:$B$45=Objetivos!$A$19)*(B66&gt;=Objetivos!$E$26:$E$45)*(B66&lt;Objetivos!$E$26:$E$45+Objetivos!$H$26:$H$45)*Objetivos!$G$26:$G$45)*12*(1+Objetivos!$B$6)^B66)</f>
        <v>0</v>
      </c>
      <c r="K66" s="148">
        <f>J66+IF(H66=0,0,J66*MAX(0,H66-I66)/H66)*Objetivos!$B$7</f>
        <v>0</v>
      </c>
      <c r="L66" s="151">
        <f>MAX(0,SUMIFS(Objetivos!$I$26:$I$45,Objetivos!$E$26:$E$45,B66,Objetivos!$C$26:$C$45,"Único",Objetivos!$B$26:$B$45,Objetivos!$A$19)+SUMPRODUCT(((Objetivos!$C$26:$C$45="Renta")+(Objetivos!$C$26:$C$45="Jubilación"))*(Objetivos!$B$26:$B$45=Objetivos!$A$19)*(B66&gt;=Objetivos!$E$26:$E$45)*(B66&lt;Objetivos!$E$26:$E$45+Objetivos!$H$26:$H$45)*Objetivos!$G$26:$G$45)*12*(1+Objetivos!$B$6)^B66-H66)</f>
        <v>0</v>
      </c>
      <c r="M66" s="148">
        <f>IF(B66&gt;=Objetivos!$B$11,0,IF(B66=1,Objetivos!$E$20*12+Objetivos!$C$20+Objetivos!$D$20,Objetivos!$E$20*12*(1+Objetivos!$B$9)^(B66-1)))</f>
        <v>0</v>
      </c>
      <c r="N66" s="149">
        <f>MAX(0,(N65-Q65)*(1+Objetivos!$B$20)+M66)</f>
        <v>1043528.98736346</v>
      </c>
      <c r="O66" s="148">
        <f>MAX(0,O65-IF(N65=0,0,P65*O65/N65)+M66)</f>
        <v>82444.3469397004</v>
      </c>
      <c r="P66" s="150">
        <f>MIN(N66,SUMIFS(Objetivos!$I$26:$I$45,Objetivos!$E$26:$E$45,B66,Objetivos!$C$26:$C$45,"Único",Objetivos!$B$26:$B$45,Objetivos!$A$20)+SUMPRODUCT(((Objetivos!$C$26:$C$45="Renta")+(Objetivos!$C$26:$C$45="Jubilación"))*(Objetivos!$B$26:$B$45=Objetivos!$A$20)*(B66&gt;=Objetivos!$E$26:$E$45)*(B66&lt;Objetivos!$E$26:$E$45+Objetivos!$H$26:$H$45)*Objetivos!$G$26:$G$45)*12*(1+Objetivos!$B$6)^B66)</f>
        <v>0</v>
      </c>
      <c r="Q66" s="148">
        <f>P66+IF(N66=0,0,P66*MAX(0,N66-O66)/N66)*Objetivos!$B$7</f>
        <v>0</v>
      </c>
      <c r="R66" s="151">
        <f>MAX(0,SUMIFS(Objetivos!$I$26:$I$45,Objetivos!$E$26:$E$45,B66,Objetivos!$C$26:$C$45,"Único",Objetivos!$B$26:$B$45,Objetivos!$A$20)+SUMPRODUCT(((Objetivos!$C$26:$C$45="Renta")+(Objetivos!$C$26:$C$45="Jubilación"))*(Objetivos!$B$26:$B$45=Objetivos!$A$20)*(B66&gt;=Objetivos!$E$26:$E$45)*(B66&lt;Objetivos!$E$26:$E$45+Objetivos!$H$26:$H$45)*Objetivos!$G$26:$G$45)*12*(1+Objetivos!$B$6)^B66-N66)</f>
        <v>0</v>
      </c>
      <c r="S66" s="148">
        <f>IF(B66&gt;=Objetivos!$B$11,0,IF(B66=1,Objetivos!$E$21*12+Objetivos!$C$21+Objetivos!$D$21,Objetivos!$E$21*12*(1+Objetivos!$B$9)^(B66-1)))</f>
        <v>0</v>
      </c>
      <c r="T66" s="149">
        <f>MAX(0,(T65-W65)*(1+Objetivos!$B$21)+S66)</f>
        <v>265144.797766545</v>
      </c>
      <c r="U66" s="148">
        <f>MAX(0,U65-IF(T65=0,0,V65*U65/T65)+S66)</f>
        <v>31046.6296831578</v>
      </c>
      <c r="V66" s="150">
        <f>MIN(T66,SUMIFS(Objetivos!$I$26:$I$45,Objetivos!$E$26:$E$45,B66,Objetivos!$C$26:$C$45,"Único",Objetivos!$B$26:$B$45,Objetivos!$A$21)+SUMPRODUCT(((Objetivos!$C$26:$C$45="Renta")+(Objetivos!$C$26:$C$45="Jubilación"))*(Objetivos!$B$26:$B$45=Objetivos!$A$21)*(B66&gt;=Objetivos!$E$26:$E$45)*(B66&lt;Objetivos!$E$26:$E$45+Objetivos!$H$26:$H$45)*Objetivos!$G$26:$G$45)*12*(1+Objetivos!$B$6)^B66)</f>
        <v>0</v>
      </c>
      <c r="W66" s="148">
        <f>V66+IF(T66=0,0,V66*MAX(0,T66-U66)/T66)*Objetivos!$B$7</f>
        <v>0</v>
      </c>
      <c r="X66" s="151">
        <f>MAX(0,SUMIFS(Objetivos!$I$26:$I$45,Objetivos!$E$26:$E$45,B66,Objetivos!$C$26:$C$45,"Único",Objetivos!$B$26:$B$45,Objetivos!$A$21)+SUMPRODUCT(((Objetivos!$C$26:$C$45="Renta")+(Objetivos!$C$26:$C$45="Jubilación"))*(Objetivos!$B$26:$B$45=Objetivos!$A$21)*(B66&gt;=Objetivos!$E$26:$E$45)*(B66&lt;Objetivos!$E$26:$E$45+Objetivos!$H$26:$H$45)*Objetivos!$G$26:$G$45)*12*(1+Objetivos!$B$6)^B66-T66)</f>
        <v>0</v>
      </c>
    </row>
    <row r="67">
      <c r="A67" s="152">
        <f>Objetivos!$B$5+B67</f>
        <v>2088</v>
      </c>
      <c r="B67" s="153" t="n">
        <v>62</v>
      </c>
      <c r="C67" s="154">
        <f>H67+N67+T67</f>
        <v>2008109.58901749</v>
      </c>
      <c r="D67" s="154">
        <f>(H67-MAX(0,H67-I67)*Objetivos!$B$7)+(N67-MAX(0,N67-O67)*Objetivos!$B$7)+(T67-MAX(0,T67-U67)*Objetivos!$B$7)</f>
        <v>1622972.19842638</v>
      </c>
      <c r="E67" s="155">
        <f>G67+M67+S67</f>
        <v>0</v>
      </c>
      <c r="F67" s="156">
        <f>J67+P67+V67</f>
        <v>0</v>
      </c>
      <c r="G67" s="157">
        <f>IF(B67&gt;=Objetivos!$B$11,0,IF(B67=1,Objetivos!$E$19*12+Objetivos!$C$19+Objetivos!$D$19,Objetivos!$E$19*12*(1+Objetivos!$B$9)^(B67-1)))</f>
        <v>0</v>
      </c>
      <c r="H67" s="158">
        <f>MAX(0,(H66-K66)*(1+Objetivos!$B$19)+G67)</f>
        <v>623566.824757351</v>
      </c>
      <c r="I67" s="157">
        <f>MAX(0,I66-IF(H66=0,0,J66*I66/H66)+G67)</f>
        <v>143994.109707777</v>
      </c>
      <c r="J67" s="159">
        <f>MIN(H67,SUMIFS(Objetivos!$I$26:$I$45,Objetivos!$E$26:$E$45,B67,Objetivos!$C$26:$C$45,"Único",Objetivos!$B$26:$B$45,Objetivos!$A$19)+SUMPRODUCT(((Objetivos!$C$26:$C$45="Renta")+(Objetivos!$C$26:$C$45="Jubilación"))*(Objetivos!$B$26:$B$45=Objetivos!$A$19)*(B67&gt;=Objetivos!$E$26:$E$45)*(B67&lt;Objetivos!$E$26:$E$45+Objetivos!$H$26:$H$45)*Objetivos!$G$26:$G$45)*12*(1+Objetivos!$B$6)^B67)</f>
        <v>0</v>
      </c>
      <c r="K67" s="157">
        <f>J67+IF(H67=0,0,J67*MAX(0,H67-I67)/H67)*Objetivos!$B$7</f>
        <v>0</v>
      </c>
      <c r="L67" s="160">
        <f>MAX(0,SUMIFS(Objetivos!$I$26:$I$45,Objetivos!$E$26:$E$45,B67,Objetivos!$C$26:$C$45,"Único",Objetivos!$B$26:$B$45,Objetivos!$A$19)+SUMPRODUCT(((Objetivos!$C$26:$C$45="Renta")+(Objetivos!$C$26:$C$45="Jubilación"))*(Objetivos!$B$26:$B$45=Objetivos!$A$19)*(B67&gt;=Objetivos!$E$26:$E$45)*(B67&lt;Objetivos!$E$26:$E$45+Objetivos!$H$26:$H$45)*Objetivos!$G$26:$G$45)*12*(1+Objetivos!$B$6)^B67-H67)</f>
        <v>0</v>
      </c>
      <c r="M67" s="157">
        <f>IF(B67&gt;=Objetivos!$B$11,0,IF(B67=1,Objetivos!$E$20*12+Objetivos!$C$20+Objetivos!$D$20,Objetivos!$E$20*12*(1+Objetivos!$B$9)^(B67-1)))</f>
        <v>0</v>
      </c>
      <c r="N67" s="158">
        <f>MAX(0,(N66-Q66)*(1+Objetivos!$B$20)+M67)</f>
        <v>1106140.72660527</v>
      </c>
      <c r="O67" s="157">
        <f>MAX(0,O66-IF(N66=0,0,P66*O66/N66)+M67)</f>
        <v>82444.3469397004</v>
      </c>
      <c r="P67" s="159">
        <f>MIN(N67,SUMIFS(Objetivos!$I$26:$I$45,Objetivos!$E$26:$E$45,B67,Objetivos!$C$26:$C$45,"Único",Objetivos!$B$26:$B$45,Objetivos!$A$20)+SUMPRODUCT(((Objetivos!$C$26:$C$45="Renta")+(Objetivos!$C$26:$C$45="Jubilación"))*(Objetivos!$B$26:$B$45=Objetivos!$A$20)*(B67&gt;=Objetivos!$E$26:$E$45)*(B67&lt;Objetivos!$E$26:$E$45+Objetivos!$H$26:$H$45)*Objetivos!$G$26:$G$45)*12*(1+Objetivos!$B$6)^B67)</f>
        <v>0</v>
      </c>
      <c r="Q67" s="157">
        <f>P67+IF(N67=0,0,P67*MAX(0,N67-O67)/N67)*Objetivos!$B$7</f>
        <v>0</v>
      </c>
      <c r="R67" s="160">
        <f>MAX(0,SUMIFS(Objetivos!$I$26:$I$45,Objetivos!$E$26:$E$45,B67,Objetivos!$C$26:$C$45,"Único",Objetivos!$B$26:$B$45,Objetivos!$A$20)+SUMPRODUCT(((Objetivos!$C$26:$C$45="Renta")+(Objetivos!$C$26:$C$45="Jubilación"))*(Objetivos!$B$26:$B$45=Objetivos!$A$20)*(B67&gt;=Objetivos!$E$26:$E$45)*(B67&lt;Objetivos!$E$26:$E$45+Objetivos!$H$26:$H$45)*Objetivos!$G$26:$G$45)*12*(1+Objetivos!$B$6)^B67-N67)</f>
        <v>0</v>
      </c>
      <c r="S67" s="157">
        <f>IF(B67&gt;=Objetivos!$B$11,0,IF(B67=1,Objetivos!$E$21*12+Objetivos!$C$21+Objetivos!$D$21,Objetivos!$E$21*12*(1+Objetivos!$B$9)^(B67-1)))</f>
        <v>0</v>
      </c>
      <c r="T67" s="158">
        <f>MAX(0,(T66-W66)*(1+Objetivos!$B$21)+S67)</f>
        <v>278402.037654872</v>
      </c>
      <c r="U67" s="157">
        <f>MAX(0,U66-IF(T66=0,0,V66*U66/T66)+S67)</f>
        <v>31046.6296831578</v>
      </c>
      <c r="V67" s="159">
        <f>MIN(T67,SUMIFS(Objetivos!$I$26:$I$45,Objetivos!$E$26:$E$45,B67,Objetivos!$C$26:$C$45,"Único",Objetivos!$B$26:$B$45,Objetivos!$A$21)+SUMPRODUCT(((Objetivos!$C$26:$C$45="Renta")+(Objetivos!$C$26:$C$45="Jubilación"))*(Objetivos!$B$26:$B$45=Objetivos!$A$21)*(B67&gt;=Objetivos!$E$26:$E$45)*(B67&lt;Objetivos!$E$26:$E$45+Objetivos!$H$26:$H$45)*Objetivos!$G$26:$G$45)*12*(1+Objetivos!$B$6)^B67)</f>
        <v>0</v>
      </c>
      <c r="W67" s="157">
        <f>V67+IF(T67=0,0,V67*MAX(0,T67-U67)/T67)*Objetivos!$B$7</f>
        <v>0</v>
      </c>
      <c r="X67" s="160">
        <f>MAX(0,SUMIFS(Objetivos!$I$26:$I$45,Objetivos!$E$26:$E$45,B67,Objetivos!$C$26:$C$45,"Único",Objetivos!$B$26:$B$45,Objetivos!$A$21)+SUMPRODUCT(((Objetivos!$C$26:$C$45="Renta")+(Objetivos!$C$26:$C$45="Jubilación"))*(Objetivos!$B$26:$B$45=Objetivos!$A$21)*(B67&gt;=Objetivos!$E$26:$E$45)*(B67&lt;Objetivos!$E$26:$E$45+Objetivos!$H$26:$H$45)*Objetivos!$G$26:$G$45)*12*(1+Objetivos!$B$6)^B67-T67)</f>
        <v>0</v>
      </c>
    </row>
    <row r="68">
      <c r="A68" s="144">
        <f>Objetivos!$B$5+B68</f>
        <v>2089</v>
      </c>
      <c r="B68" s="145" t="n">
        <v>63</v>
      </c>
      <c r="C68" s="126">
        <f>H68+N68+T68</f>
        <v>2110222.97336306</v>
      </c>
      <c r="D68" s="126">
        <f>(H68-MAX(0,H68-I68)*Objetivos!$B$7)+(N68-MAX(0,N68-O68)*Objetivos!$B$7)+(T68-MAX(0,T68-U68)*Objetivos!$B$7)</f>
        <v>1702620.63821592</v>
      </c>
      <c r="E68" s="146">
        <f>G68+M68+S68</f>
        <v>0</v>
      </c>
      <c r="F68" s="147">
        <f>J68+P68+V68</f>
        <v>0</v>
      </c>
      <c r="G68" s="148">
        <f>IF(B68&gt;=Objetivos!$B$11,0,IF(B68=1,Objetivos!$E$19*12+Objetivos!$C$19+Objetivos!$D$19,Objetivos!$E$19*12*(1+Objetivos!$B$9)^(B68-1)))</f>
        <v>0</v>
      </c>
      <c r="H68" s="149">
        <f>MAX(0,(H67-K67)*(1+Objetivos!$B$19)+G68)</f>
        <v>645391.663623858</v>
      </c>
      <c r="I68" s="148">
        <f>MAX(0,I67-IF(H67=0,0,J67*I67/H67)+G68)</f>
        <v>143994.109707777</v>
      </c>
      <c r="J68" s="150">
        <f>MIN(H68,SUMIFS(Objetivos!$I$26:$I$45,Objetivos!$E$26:$E$45,B68,Objetivos!$C$26:$C$45,"Único",Objetivos!$B$26:$B$45,Objetivos!$A$19)+SUMPRODUCT(((Objetivos!$C$26:$C$45="Renta")+(Objetivos!$C$26:$C$45="Jubilación"))*(Objetivos!$B$26:$B$45=Objetivos!$A$19)*(B68&gt;=Objetivos!$E$26:$E$45)*(B68&lt;Objetivos!$E$26:$E$45+Objetivos!$H$26:$H$45)*Objetivos!$G$26:$G$45)*12*(1+Objetivos!$B$6)^B68)</f>
        <v>0</v>
      </c>
      <c r="K68" s="148">
        <f>J68+IF(H68=0,0,J68*MAX(0,H68-I68)/H68)*Objetivos!$B$7</f>
        <v>0</v>
      </c>
      <c r="L68" s="151">
        <f>MAX(0,SUMIFS(Objetivos!$I$26:$I$45,Objetivos!$E$26:$E$45,B68,Objetivos!$C$26:$C$45,"Único",Objetivos!$B$26:$B$45,Objetivos!$A$19)+SUMPRODUCT(((Objetivos!$C$26:$C$45="Renta")+(Objetivos!$C$26:$C$45="Jubilación"))*(Objetivos!$B$26:$B$45=Objetivos!$A$19)*(B68&gt;=Objetivos!$E$26:$E$45)*(B68&lt;Objetivos!$E$26:$E$45+Objetivos!$H$26:$H$45)*Objetivos!$G$26:$G$45)*12*(1+Objetivos!$B$6)^B68-H68)</f>
        <v>0</v>
      </c>
      <c r="M68" s="148">
        <f>IF(B68&gt;=Objetivos!$B$11,0,IF(B68=1,Objetivos!$E$20*12+Objetivos!$C$20+Objetivos!$D$20,Objetivos!$E$20*12*(1+Objetivos!$B$9)^(B68-1)))</f>
        <v>0</v>
      </c>
      <c r="N68" s="149">
        <f>MAX(0,(N67-Q67)*(1+Objetivos!$B$20)+M68)</f>
        <v>1172509.17020158</v>
      </c>
      <c r="O68" s="148">
        <f>MAX(0,O67-IF(N67=0,0,P67*O67/N67)+M68)</f>
        <v>82444.3469397004</v>
      </c>
      <c r="P68" s="150">
        <f>MIN(N68,SUMIFS(Objetivos!$I$26:$I$45,Objetivos!$E$26:$E$45,B68,Objetivos!$C$26:$C$45,"Único",Objetivos!$B$26:$B$45,Objetivos!$A$20)+SUMPRODUCT(((Objetivos!$C$26:$C$45="Renta")+(Objetivos!$C$26:$C$45="Jubilación"))*(Objetivos!$B$26:$B$45=Objetivos!$A$20)*(B68&gt;=Objetivos!$E$26:$E$45)*(B68&lt;Objetivos!$E$26:$E$45+Objetivos!$H$26:$H$45)*Objetivos!$G$26:$G$45)*12*(1+Objetivos!$B$6)^B68)</f>
        <v>0</v>
      </c>
      <c r="Q68" s="148">
        <f>P68+IF(N68=0,0,P68*MAX(0,N68-O68)/N68)*Objetivos!$B$7</f>
        <v>0</v>
      </c>
      <c r="R68" s="151">
        <f>MAX(0,SUMIFS(Objetivos!$I$26:$I$45,Objetivos!$E$26:$E$45,B68,Objetivos!$C$26:$C$45,"Único",Objetivos!$B$26:$B$45,Objetivos!$A$20)+SUMPRODUCT(((Objetivos!$C$26:$C$45="Renta")+(Objetivos!$C$26:$C$45="Jubilación"))*(Objetivos!$B$26:$B$45=Objetivos!$A$20)*(B68&gt;=Objetivos!$E$26:$E$45)*(B68&lt;Objetivos!$E$26:$E$45+Objetivos!$H$26:$H$45)*Objetivos!$G$26:$G$45)*12*(1+Objetivos!$B$6)^B68-N68)</f>
        <v>0</v>
      </c>
      <c r="S68" s="148">
        <f>IF(B68&gt;=Objetivos!$B$11,0,IF(B68=1,Objetivos!$E$21*12+Objetivos!$C$21+Objetivos!$D$21,Objetivos!$E$21*12*(1+Objetivos!$B$9)^(B68-1)))</f>
        <v>0</v>
      </c>
      <c r="T68" s="149">
        <f>MAX(0,(T67-W67)*(1+Objetivos!$B$21)+S68)</f>
        <v>292322.139537616</v>
      </c>
      <c r="U68" s="148">
        <f>MAX(0,U67-IF(T67=0,0,V67*U67/T67)+S68)</f>
        <v>31046.6296831578</v>
      </c>
      <c r="V68" s="150">
        <f>MIN(T68,SUMIFS(Objetivos!$I$26:$I$45,Objetivos!$E$26:$E$45,B68,Objetivos!$C$26:$C$45,"Único",Objetivos!$B$26:$B$45,Objetivos!$A$21)+SUMPRODUCT(((Objetivos!$C$26:$C$45="Renta")+(Objetivos!$C$26:$C$45="Jubilación"))*(Objetivos!$B$26:$B$45=Objetivos!$A$21)*(B68&gt;=Objetivos!$E$26:$E$45)*(B68&lt;Objetivos!$E$26:$E$45+Objetivos!$H$26:$H$45)*Objetivos!$G$26:$G$45)*12*(1+Objetivos!$B$6)^B68)</f>
        <v>0</v>
      </c>
      <c r="W68" s="148">
        <f>V68+IF(T68=0,0,V68*MAX(0,T68-U68)/T68)*Objetivos!$B$7</f>
        <v>0</v>
      </c>
      <c r="X68" s="151">
        <f>MAX(0,SUMIFS(Objetivos!$I$26:$I$45,Objetivos!$E$26:$E$45,B68,Objetivos!$C$26:$C$45,"Único",Objetivos!$B$26:$B$45,Objetivos!$A$21)+SUMPRODUCT(((Objetivos!$C$26:$C$45="Renta")+(Objetivos!$C$26:$C$45="Jubilación"))*(Objetivos!$B$26:$B$45=Objetivos!$A$21)*(B68&gt;=Objetivos!$E$26:$E$45)*(B68&lt;Objetivos!$E$26:$E$45+Objetivos!$H$26:$H$45)*Objetivos!$G$26:$G$45)*12*(1+Objetivos!$B$6)^B68-T68)</f>
        <v>0</v>
      </c>
    </row>
    <row r="69">
      <c r="A69" s="152">
        <f>Objetivos!$B$5+B69</f>
        <v>2090</v>
      </c>
      <c r="B69" s="153" t="n">
        <v>64</v>
      </c>
      <c r="C69" s="154">
        <f>H69+N69+T69</f>
        <v>2217778.33877887</v>
      </c>
      <c r="D69" s="154">
        <f>(H69-MAX(0,H69-I69)*Objetivos!$B$7)+(N69-MAX(0,N69-O69)*Objetivos!$B$7)+(T69-MAX(0,T69-U69)*Objetivos!$B$7)</f>
        <v>1786513.82324026</v>
      </c>
      <c r="E69" s="155">
        <f>G69+M69+S69</f>
        <v>0</v>
      </c>
      <c r="F69" s="156">
        <f>J69+P69+V69</f>
        <v>0</v>
      </c>
      <c r="G69" s="157">
        <f>IF(B69&gt;=Objetivos!$B$11,0,IF(B69=1,Objetivos!$E$19*12+Objetivos!$C$19+Objetivos!$D$19,Objetivos!$E$19*12*(1+Objetivos!$B$9)^(B69-1)))</f>
        <v>0</v>
      </c>
      <c r="H69" s="158">
        <f>MAX(0,(H68-K68)*(1+Objetivos!$B$19)+G69)</f>
        <v>667980.371850693</v>
      </c>
      <c r="I69" s="157">
        <f>MAX(0,I68-IF(H68=0,0,J68*I68/H68)+G69)</f>
        <v>143994.109707777</v>
      </c>
      <c r="J69" s="159">
        <f>MIN(H69,SUMIFS(Objetivos!$I$26:$I$45,Objetivos!$E$26:$E$45,B69,Objetivos!$C$26:$C$45,"Único",Objetivos!$B$26:$B$45,Objetivos!$A$19)+SUMPRODUCT(((Objetivos!$C$26:$C$45="Renta")+(Objetivos!$C$26:$C$45="Jubilación"))*(Objetivos!$B$26:$B$45=Objetivos!$A$19)*(B69&gt;=Objetivos!$E$26:$E$45)*(B69&lt;Objetivos!$E$26:$E$45+Objetivos!$H$26:$H$45)*Objetivos!$G$26:$G$45)*12*(1+Objetivos!$B$6)^B69)</f>
        <v>0</v>
      </c>
      <c r="K69" s="157">
        <f>J69+IF(H69=0,0,J69*MAX(0,H69-I69)/H69)*Objetivos!$B$7</f>
        <v>0</v>
      </c>
      <c r="L69" s="160">
        <f>MAX(0,SUMIFS(Objetivos!$I$26:$I$45,Objetivos!$E$26:$E$45,B69,Objetivos!$C$26:$C$45,"Único",Objetivos!$B$26:$B$45,Objetivos!$A$19)+SUMPRODUCT(((Objetivos!$C$26:$C$45="Renta")+(Objetivos!$C$26:$C$45="Jubilación"))*(Objetivos!$B$26:$B$45=Objetivos!$A$19)*(B69&gt;=Objetivos!$E$26:$E$45)*(B69&lt;Objetivos!$E$26:$E$45+Objetivos!$H$26:$H$45)*Objetivos!$G$26:$G$45)*12*(1+Objetivos!$B$6)^B69-H69)</f>
        <v>0</v>
      </c>
      <c r="M69" s="157">
        <f>IF(B69&gt;=Objetivos!$B$11,0,IF(B69=1,Objetivos!$E$20*12+Objetivos!$C$20+Objetivos!$D$20,Objetivos!$E$20*12*(1+Objetivos!$B$9)^(B69-1)))</f>
        <v>0</v>
      </c>
      <c r="N69" s="158">
        <f>MAX(0,(N68-Q68)*(1+Objetivos!$B$20)+M69)</f>
        <v>1242859.72041368</v>
      </c>
      <c r="O69" s="157">
        <f>MAX(0,O68-IF(N68=0,0,P68*O68/N68)+M69)</f>
        <v>82444.3469397004</v>
      </c>
      <c r="P69" s="159">
        <f>MIN(N69,SUMIFS(Objetivos!$I$26:$I$45,Objetivos!$E$26:$E$45,B69,Objetivos!$C$26:$C$45,"Único",Objetivos!$B$26:$B$45,Objetivos!$A$20)+SUMPRODUCT(((Objetivos!$C$26:$C$45="Renta")+(Objetivos!$C$26:$C$45="Jubilación"))*(Objetivos!$B$26:$B$45=Objetivos!$A$20)*(B69&gt;=Objetivos!$E$26:$E$45)*(B69&lt;Objetivos!$E$26:$E$45+Objetivos!$H$26:$H$45)*Objetivos!$G$26:$G$45)*12*(1+Objetivos!$B$6)^B69)</f>
        <v>0</v>
      </c>
      <c r="Q69" s="157">
        <f>P69+IF(N69=0,0,P69*MAX(0,N69-O69)/N69)*Objetivos!$B$7</f>
        <v>0</v>
      </c>
      <c r="R69" s="160">
        <f>MAX(0,SUMIFS(Objetivos!$I$26:$I$45,Objetivos!$E$26:$E$45,B69,Objetivos!$C$26:$C$45,"Único",Objetivos!$B$26:$B$45,Objetivos!$A$20)+SUMPRODUCT(((Objetivos!$C$26:$C$45="Renta")+(Objetivos!$C$26:$C$45="Jubilación"))*(Objetivos!$B$26:$B$45=Objetivos!$A$20)*(B69&gt;=Objetivos!$E$26:$E$45)*(B69&lt;Objetivos!$E$26:$E$45+Objetivos!$H$26:$H$45)*Objetivos!$G$26:$G$45)*12*(1+Objetivos!$B$6)^B69-N69)</f>
        <v>0</v>
      </c>
      <c r="S69" s="157">
        <f>IF(B69&gt;=Objetivos!$B$11,0,IF(B69=1,Objetivos!$E$21*12+Objetivos!$C$21+Objetivos!$D$21,Objetivos!$E$21*12*(1+Objetivos!$B$9)^(B69-1)))</f>
        <v>0</v>
      </c>
      <c r="T69" s="158">
        <f>MAX(0,(T68-W68)*(1+Objetivos!$B$21)+S69)</f>
        <v>306938.246514496</v>
      </c>
      <c r="U69" s="157">
        <f>MAX(0,U68-IF(T68=0,0,V68*U68/T68)+S69)</f>
        <v>31046.6296831578</v>
      </c>
      <c r="V69" s="159">
        <f>MIN(T69,SUMIFS(Objetivos!$I$26:$I$45,Objetivos!$E$26:$E$45,B69,Objetivos!$C$26:$C$45,"Único",Objetivos!$B$26:$B$45,Objetivos!$A$21)+SUMPRODUCT(((Objetivos!$C$26:$C$45="Renta")+(Objetivos!$C$26:$C$45="Jubilación"))*(Objetivos!$B$26:$B$45=Objetivos!$A$21)*(B69&gt;=Objetivos!$E$26:$E$45)*(B69&lt;Objetivos!$E$26:$E$45+Objetivos!$H$26:$H$45)*Objetivos!$G$26:$G$45)*12*(1+Objetivos!$B$6)^B69)</f>
        <v>0</v>
      </c>
      <c r="W69" s="157">
        <f>V69+IF(T69=0,0,V69*MAX(0,T69-U69)/T69)*Objetivos!$B$7</f>
        <v>0</v>
      </c>
      <c r="X69" s="160">
        <f>MAX(0,SUMIFS(Objetivos!$I$26:$I$45,Objetivos!$E$26:$E$45,B69,Objetivos!$C$26:$C$45,"Único",Objetivos!$B$26:$B$45,Objetivos!$A$21)+SUMPRODUCT(((Objetivos!$C$26:$C$45="Renta")+(Objetivos!$C$26:$C$45="Jubilación"))*(Objetivos!$B$26:$B$45=Objetivos!$A$21)*(B69&gt;=Objetivos!$E$26:$E$45)*(B69&lt;Objetivos!$E$26:$E$45+Objetivos!$H$26:$H$45)*Objetivos!$G$26:$G$45)*12*(1+Objetivos!$B$6)^B69-T69)</f>
        <v>0</v>
      </c>
    </row>
    <row r="70">
      <c r="A70" s="144">
        <f>Objetivos!$B$5+B70</f>
        <v>2091</v>
      </c>
      <c r="B70" s="145" t="n">
        <v>65</v>
      </c>
      <c r="C70" s="126">
        <f>H70+N70+T70</f>
        <v>2331076.14734419</v>
      </c>
      <c r="D70" s="126">
        <f>(H70-MAX(0,H70-I70)*Objetivos!$B$7)+(N70-MAX(0,N70-O70)*Objetivos!$B$7)+(T70-MAX(0,T70-U70)*Objetivos!$B$7)</f>
        <v>1874886.11392121</v>
      </c>
      <c r="E70" s="146">
        <f>G70+M70+S70</f>
        <v>0</v>
      </c>
      <c r="F70" s="147">
        <f>J70+P70+V70</f>
        <v>0</v>
      </c>
      <c r="G70" s="148">
        <f>IF(B70&gt;=Objetivos!$B$11,0,IF(B70=1,Objetivos!$E$19*12+Objetivos!$C$19+Objetivos!$D$19,Objetivos!$E$19*12*(1+Objetivos!$B$9)^(B70-1)))</f>
        <v>0</v>
      </c>
      <c r="H70" s="149">
        <f>MAX(0,(H69-K69)*(1+Objetivos!$B$19)+G70)</f>
        <v>691359.684865467</v>
      </c>
      <c r="I70" s="148">
        <f>MAX(0,I69-IF(H69=0,0,J69*I69/H69)+G70)</f>
        <v>143994.109707777</v>
      </c>
      <c r="J70" s="150">
        <f>MIN(H70,SUMIFS(Objetivos!$I$26:$I$45,Objetivos!$E$26:$E$45,B70,Objetivos!$C$26:$C$45,"Único",Objetivos!$B$26:$B$45,Objetivos!$A$19)+SUMPRODUCT(((Objetivos!$C$26:$C$45="Renta")+(Objetivos!$C$26:$C$45="Jubilación"))*(Objetivos!$B$26:$B$45=Objetivos!$A$19)*(B70&gt;=Objetivos!$E$26:$E$45)*(B70&lt;Objetivos!$E$26:$E$45+Objetivos!$H$26:$H$45)*Objetivos!$G$26:$G$45)*12*(1+Objetivos!$B$6)^B70)</f>
        <v>0</v>
      </c>
      <c r="K70" s="148">
        <f>J70+IF(H70=0,0,J70*MAX(0,H70-I70)/H70)*Objetivos!$B$7</f>
        <v>0</v>
      </c>
      <c r="L70" s="151">
        <f>MAX(0,SUMIFS(Objetivos!$I$26:$I$45,Objetivos!$E$26:$E$45,B70,Objetivos!$C$26:$C$45,"Único",Objetivos!$B$26:$B$45,Objetivos!$A$19)+SUMPRODUCT(((Objetivos!$C$26:$C$45="Renta")+(Objetivos!$C$26:$C$45="Jubilación"))*(Objetivos!$B$26:$B$45=Objetivos!$A$19)*(B70&gt;=Objetivos!$E$26:$E$45)*(B70&lt;Objetivos!$E$26:$E$45+Objetivos!$H$26:$H$45)*Objetivos!$G$26:$G$45)*12*(1+Objetivos!$B$6)^B70-H70)</f>
        <v>0</v>
      </c>
      <c r="M70" s="148">
        <f>IF(B70&gt;=Objetivos!$B$11,0,IF(B70=1,Objetivos!$E$20*12+Objetivos!$C$20+Objetivos!$D$20,Objetivos!$E$20*12*(1+Objetivos!$B$9)^(B70-1)))</f>
        <v>0</v>
      </c>
      <c r="N70" s="149">
        <f>MAX(0,(N69-Q69)*(1+Objetivos!$B$20)+M70)</f>
        <v>1317431.3036385</v>
      </c>
      <c r="O70" s="148">
        <f>MAX(0,O69-IF(N69=0,0,P69*O69/N69)+M70)</f>
        <v>82444.3469397004</v>
      </c>
      <c r="P70" s="150">
        <f>MIN(N70,SUMIFS(Objetivos!$I$26:$I$45,Objetivos!$E$26:$E$45,B70,Objetivos!$C$26:$C$45,"Único",Objetivos!$B$26:$B$45,Objetivos!$A$20)+SUMPRODUCT(((Objetivos!$C$26:$C$45="Renta")+(Objetivos!$C$26:$C$45="Jubilación"))*(Objetivos!$B$26:$B$45=Objetivos!$A$20)*(B70&gt;=Objetivos!$E$26:$E$45)*(B70&lt;Objetivos!$E$26:$E$45+Objetivos!$H$26:$H$45)*Objetivos!$G$26:$G$45)*12*(1+Objetivos!$B$6)^B70)</f>
        <v>0</v>
      </c>
      <c r="Q70" s="148">
        <f>P70+IF(N70=0,0,P70*MAX(0,N70-O70)/N70)*Objetivos!$B$7</f>
        <v>0</v>
      </c>
      <c r="R70" s="151">
        <f>MAX(0,SUMIFS(Objetivos!$I$26:$I$45,Objetivos!$E$26:$E$45,B70,Objetivos!$C$26:$C$45,"Único",Objetivos!$B$26:$B$45,Objetivos!$A$20)+SUMPRODUCT(((Objetivos!$C$26:$C$45="Renta")+(Objetivos!$C$26:$C$45="Jubilación"))*(Objetivos!$B$26:$B$45=Objetivos!$A$20)*(B70&gt;=Objetivos!$E$26:$E$45)*(B70&lt;Objetivos!$E$26:$E$45+Objetivos!$H$26:$H$45)*Objetivos!$G$26:$G$45)*12*(1+Objetivos!$B$6)^B70-N70)</f>
        <v>0</v>
      </c>
      <c r="S70" s="148">
        <f>IF(B70&gt;=Objetivos!$B$11,0,IF(B70=1,Objetivos!$E$21*12+Objetivos!$C$21+Objetivos!$D$21,Objetivos!$E$21*12*(1+Objetivos!$B$9)^(B70-1)))</f>
        <v>0</v>
      </c>
      <c r="T70" s="149">
        <f>MAX(0,(T69-W69)*(1+Objetivos!$B$21)+S70)</f>
        <v>322285.158840221</v>
      </c>
      <c r="U70" s="148">
        <f>MAX(0,U69-IF(T69=0,0,V69*U69/T69)+S70)</f>
        <v>31046.6296831578</v>
      </c>
      <c r="V70" s="150">
        <f>MIN(T70,SUMIFS(Objetivos!$I$26:$I$45,Objetivos!$E$26:$E$45,B70,Objetivos!$C$26:$C$45,"Único",Objetivos!$B$26:$B$45,Objetivos!$A$21)+SUMPRODUCT(((Objetivos!$C$26:$C$45="Renta")+(Objetivos!$C$26:$C$45="Jubilación"))*(Objetivos!$B$26:$B$45=Objetivos!$A$21)*(B70&gt;=Objetivos!$E$26:$E$45)*(B70&lt;Objetivos!$E$26:$E$45+Objetivos!$H$26:$H$45)*Objetivos!$G$26:$G$45)*12*(1+Objetivos!$B$6)^B70)</f>
        <v>0</v>
      </c>
      <c r="W70" s="148">
        <f>V70+IF(T70=0,0,V70*MAX(0,T70-U70)/T70)*Objetivos!$B$7</f>
        <v>0</v>
      </c>
      <c r="X70" s="151">
        <f>MAX(0,SUMIFS(Objetivos!$I$26:$I$45,Objetivos!$E$26:$E$45,B70,Objetivos!$C$26:$C$45,"Único",Objetivos!$B$26:$B$45,Objetivos!$A$21)+SUMPRODUCT(((Objetivos!$C$26:$C$45="Renta")+(Objetivos!$C$26:$C$45="Jubilación"))*(Objetivos!$B$26:$B$45=Objetivos!$A$21)*(B70&gt;=Objetivos!$E$26:$E$45)*(B70&lt;Objetivos!$E$26:$E$45+Objetivos!$H$26:$H$45)*Objetivos!$G$26:$G$45)*12*(1+Objetivos!$B$6)^B70-T70)</f>
        <v>0</v>
      </c>
    </row>
    <row r="71">
      <c r="A71" s="152">
        <f>Objetivos!$B$5+B71</f>
        <v>2092</v>
      </c>
      <c r="B71" s="153" t="n">
        <v>66</v>
      </c>
      <c r="C71" s="154">
        <f>H71+N71+T71</f>
        <v>2450433.8724748</v>
      </c>
      <c r="D71" s="154">
        <f>(H71-MAX(0,H71-I71)*Objetivos!$B$7)+(N71-MAX(0,N71-O71)*Objetivos!$B$7)+(T71-MAX(0,T71-U71)*Objetivos!$B$7)</f>
        <v>1967985.13952308</v>
      </c>
      <c r="E71" s="155">
        <f>G71+M71+S71</f>
        <v>0</v>
      </c>
      <c r="F71" s="156">
        <f>J71+P71+V71</f>
        <v>0</v>
      </c>
      <c r="G71" s="157">
        <f>IF(B71&gt;=Objetivos!$B$11,0,IF(B71=1,Objetivos!$E$19*12+Objetivos!$C$19+Objetivos!$D$19,Objetivos!$E$19*12*(1+Objetivos!$B$9)^(B71-1)))</f>
        <v>0</v>
      </c>
      <c r="H71" s="158">
        <f>MAX(0,(H70-K70)*(1+Objetivos!$B$19)+G71)</f>
        <v>715557.273835759</v>
      </c>
      <c r="I71" s="157">
        <f>MAX(0,I70-IF(H70=0,0,J70*I70/H70)+G71)</f>
        <v>143994.109707777</v>
      </c>
      <c r="J71" s="159">
        <f>MIN(H71,SUMIFS(Objetivos!$I$26:$I$45,Objetivos!$E$26:$E$45,B71,Objetivos!$C$26:$C$45,"Único",Objetivos!$B$26:$B$45,Objetivos!$A$19)+SUMPRODUCT(((Objetivos!$C$26:$C$45="Renta")+(Objetivos!$C$26:$C$45="Jubilación"))*(Objetivos!$B$26:$B$45=Objetivos!$A$19)*(B71&gt;=Objetivos!$E$26:$E$45)*(B71&lt;Objetivos!$E$26:$E$45+Objetivos!$H$26:$H$45)*Objetivos!$G$26:$G$45)*12*(1+Objetivos!$B$6)^B71)</f>
        <v>0</v>
      </c>
      <c r="K71" s="157">
        <f>J71+IF(H71=0,0,J71*MAX(0,H71-I71)/H71)*Objetivos!$B$7</f>
        <v>0</v>
      </c>
      <c r="L71" s="160">
        <f>MAX(0,SUMIFS(Objetivos!$I$26:$I$45,Objetivos!$E$26:$E$45,B71,Objetivos!$C$26:$C$45,"Único",Objetivos!$B$26:$B$45,Objetivos!$A$19)+SUMPRODUCT(((Objetivos!$C$26:$C$45="Renta")+(Objetivos!$C$26:$C$45="Jubilación"))*(Objetivos!$B$26:$B$45=Objetivos!$A$19)*(B71&gt;=Objetivos!$E$26:$E$45)*(B71&lt;Objetivos!$E$26:$E$45+Objetivos!$H$26:$H$45)*Objetivos!$G$26:$G$45)*12*(1+Objetivos!$B$6)^B71-H71)</f>
        <v>0</v>
      </c>
      <c r="M71" s="157">
        <f>IF(B71&gt;=Objetivos!$B$11,0,IF(B71=1,Objetivos!$E$20*12+Objetivos!$C$20+Objetivos!$D$20,Objetivos!$E$20*12*(1+Objetivos!$B$9)^(B71-1)))</f>
        <v>0</v>
      </c>
      <c r="N71" s="158">
        <f>MAX(0,(N70-Q70)*(1+Objetivos!$B$20)+M71)</f>
        <v>1396477.18185681</v>
      </c>
      <c r="O71" s="157">
        <f>MAX(0,O70-IF(N70=0,0,P70*O70/N70)+M71)</f>
        <v>82444.3469397004</v>
      </c>
      <c r="P71" s="159">
        <f>MIN(N71,SUMIFS(Objetivos!$I$26:$I$45,Objetivos!$E$26:$E$45,B71,Objetivos!$C$26:$C$45,"Único",Objetivos!$B$26:$B$45,Objetivos!$A$20)+SUMPRODUCT(((Objetivos!$C$26:$C$45="Renta")+(Objetivos!$C$26:$C$45="Jubilación"))*(Objetivos!$B$26:$B$45=Objetivos!$A$20)*(B71&gt;=Objetivos!$E$26:$E$45)*(B71&lt;Objetivos!$E$26:$E$45+Objetivos!$H$26:$H$45)*Objetivos!$G$26:$G$45)*12*(1+Objetivos!$B$6)^B71)</f>
        <v>0</v>
      </c>
      <c r="Q71" s="157">
        <f>P71+IF(N71=0,0,P71*MAX(0,N71-O71)/N71)*Objetivos!$B$7</f>
        <v>0</v>
      </c>
      <c r="R71" s="160">
        <f>MAX(0,SUMIFS(Objetivos!$I$26:$I$45,Objetivos!$E$26:$E$45,B71,Objetivos!$C$26:$C$45,"Único",Objetivos!$B$26:$B$45,Objetivos!$A$20)+SUMPRODUCT(((Objetivos!$C$26:$C$45="Renta")+(Objetivos!$C$26:$C$45="Jubilación"))*(Objetivos!$B$26:$B$45=Objetivos!$A$20)*(B71&gt;=Objetivos!$E$26:$E$45)*(B71&lt;Objetivos!$E$26:$E$45+Objetivos!$H$26:$H$45)*Objetivos!$G$26:$G$45)*12*(1+Objetivos!$B$6)^B71-N71)</f>
        <v>0</v>
      </c>
      <c r="S71" s="157">
        <f>IF(B71&gt;=Objetivos!$B$11,0,IF(B71=1,Objetivos!$E$21*12+Objetivos!$C$21+Objetivos!$D$21,Objetivos!$E$21*12*(1+Objetivos!$B$9)^(B71-1)))</f>
        <v>0</v>
      </c>
      <c r="T71" s="158">
        <f>MAX(0,(T70-W70)*(1+Objetivos!$B$21)+S71)</f>
        <v>338399.416782232</v>
      </c>
      <c r="U71" s="157">
        <f>MAX(0,U70-IF(T70=0,0,V70*U70/T70)+S71)</f>
        <v>31046.6296831578</v>
      </c>
      <c r="V71" s="159">
        <f>MIN(T71,SUMIFS(Objetivos!$I$26:$I$45,Objetivos!$E$26:$E$45,B71,Objetivos!$C$26:$C$45,"Único",Objetivos!$B$26:$B$45,Objetivos!$A$21)+SUMPRODUCT(((Objetivos!$C$26:$C$45="Renta")+(Objetivos!$C$26:$C$45="Jubilación"))*(Objetivos!$B$26:$B$45=Objetivos!$A$21)*(B71&gt;=Objetivos!$E$26:$E$45)*(B71&lt;Objetivos!$E$26:$E$45+Objetivos!$H$26:$H$45)*Objetivos!$G$26:$G$45)*12*(1+Objetivos!$B$6)^B71)</f>
        <v>0</v>
      </c>
      <c r="W71" s="157">
        <f>V71+IF(T71=0,0,V71*MAX(0,T71-U71)/T71)*Objetivos!$B$7</f>
        <v>0</v>
      </c>
      <c r="X71" s="160">
        <f>MAX(0,SUMIFS(Objetivos!$I$26:$I$45,Objetivos!$E$26:$E$45,B71,Objetivos!$C$26:$C$45,"Único",Objetivos!$B$26:$B$45,Objetivos!$A$21)+SUMPRODUCT(((Objetivos!$C$26:$C$45="Renta")+(Objetivos!$C$26:$C$45="Jubilación"))*(Objetivos!$B$26:$B$45=Objetivos!$A$21)*(B71&gt;=Objetivos!$E$26:$E$45)*(B71&lt;Objetivos!$E$26:$E$45+Objetivos!$H$26:$H$45)*Objetivos!$G$26:$G$45)*12*(1+Objetivos!$B$6)^B71-T71)</f>
        <v>0</v>
      </c>
    </row>
    <row r="72">
      <c r="A72" s="144">
        <f>Objetivos!$B$5+B72</f>
        <v>2093</v>
      </c>
      <c r="B72" s="145" t="n">
        <v>67</v>
      </c>
      <c r="C72" s="126">
        <f>H72+N72+T72</f>
        <v>2576186.97880957</v>
      </c>
      <c r="D72" s="126">
        <f>(H72-MAX(0,H72-I72)*Objetivos!$B$7)+(N72-MAX(0,N72-O72)*Objetivos!$B$7)+(T72-MAX(0,T72-U72)*Objetivos!$B$7)</f>
        <v>2066072.56246421</v>
      </c>
      <c r="E72" s="146">
        <f>G72+M72+S72</f>
        <v>0</v>
      </c>
      <c r="F72" s="147">
        <f>J72+P72+V72</f>
        <v>0</v>
      </c>
      <c r="G72" s="148">
        <f>IF(B72&gt;=Objetivos!$B$11,0,IF(B72=1,Objetivos!$E$19*12+Objetivos!$C$19+Objetivos!$D$19,Objetivos!$E$19*12*(1+Objetivos!$B$9)^(B72-1)))</f>
        <v>0</v>
      </c>
      <c r="H72" s="149">
        <f>MAX(0,(H71-K71)*(1+Objetivos!$B$19)+G72)</f>
        <v>740601.77842001</v>
      </c>
      <c r="I72" s="148">
        <f>MAX(0,I71-IF(H71=0,0,J71*I71/H71)+G72)</f>
        <v>143994.109707777</v>
      </c>
      <c r="J72" s="150">
        <f>MIN(H72,SUMIFS(Objetivos!$I$26:$I$45,Objetivos!$E$26:$E$45,B72,Objetivos!$C$26:$C$45,"Único",Objetivos!$B$26:$B$45,Objetivos!$A$19)+SUMPRODUCT(((Objetivos!$C$26:$C$45="Renta")+(Objetivos!$C$26:$C$45="Jubilación"))*(Objetivos!$B$26:$B$45=Objetivos!$A$19)*(B72&gt;=Objetivos!$E$26:$E$45)*(B72&lt;Objetivos!$E$26:$E$45+Objetivos!$H$26:$H$45)*Objetivos!$G$26:$G$45)*12*(1+Objetivos!$B$6)^B72)</f>
        <v>0</v>
      </c>
      <c r="K72" s="148">
        <f>J72+IF(H72=0,0,J72*MAX(0,H72-I72)/H72)*Objetivos!$B$7</f>
        <v>0</v>
      </c>
      <c r="L72" s="151">
        <f>MAX(0,SUMIFS(Objetivos!$I$26:$I$45,Objetivos!$E$26:$E$45,B72,Objetivos!$C$26:$C$45,"Único",Objetivos!$B$26:$B$45,Objetivos!$A$19)+SUMPRODUCT(((Objetivos!$C$26:$C$45="Renta")+(Objetivos!$C$26:$C$45="Jubilación"))*(Objetivos!$B$26:$B$45=Objetivos!$A$19)*(B72&gt;=Objetivos!$E$26:$E$45)*(B72&lt;Objetivos!$E$26:$E$45+Objetivos!$H$26:$H$45)*Objetivos!$G$26:$G$45)*12*(1+Objetivos!$B$6)^B72-H72)</f>
        <v>0</v>
      </c>
      <c r="M72" s="148">
        <f>IF(B72&gt;=Objetivos!$B$11,0,IF(B72=1,Objetivos!$E$20*12+Objetivos!$C$20+Objetivos!$D$20,Objetivos!$E$20*12*(1+Objetivos!$B$9)^(B72-1)))</f>
        <v>0</v>
      </c>
      <c r="N72" s="149">
        <f>MAX(0,(N71-Q71)*(1+Objetivos!$B$20)+M72)</f>
        <v>1480265.81276822</v>
      </c>
      <c r="O72" s="148">
        <f>MAX(0,O71-IF(N71=0,0,P71*O71/N71)+M72)</f>
        <v>82444.3469397004</v>
      </c>
      <c r="P72" s="150">
        <f>MIN(N72,SUMIFS(Objetivos!$I$26:$I$45,Objetivos!$E$26:$E$45,B72,Objetivos!$C$26:$C$45,"Único",Objetivos!$B$26:$B$45,Objetivos!$A$20)+SUMPRODUCT(((Objetivos!$C$26:$C$45="Renta")+(Objetivos!$C$26:$C$45="Jubilación"))*(Objetivos!$B$26:$B$45=Objetivos!$A$20)*(B72&gt;=Objetivos!$E$26:$E$45)*(B72&lt;Objetivos!$E$26:$E$45+Objetivos!$H$26:$H$45)*Objetivos!$G$26:$G$45)*12*(1+Objetivos!$B$6)^B72)</f>
        <v>0</v>
      </c>
      <c r="Q72" s="148">
        <f>P72+IF(N72=0,0,P72*MAX(0,N72-O72)/N72)*Objetivos!$B$7</f>
        <v>0</v>
      </c>
      <c r="R72" s="151">
        <f>MAX(0,SUMIFS(Objetivos!$I$26:$I$45,Objetivos!$E$26:$E$45,B72,Objetivos!$C$26:$C$45,"Único",Objetivos!$B$26:$B$45,Objetivos!$A$20)+SUMPRODUCT(((Objetivos!$C$26:$C$45="Renta")+(Objetivos!$C$26:$C$45="Jubilación"))*(Objetivos!$B$26:$B$45=Objetivos!$A$20)*(B72&gt;=Objetivos!$E$26:$E$45)*(B72&lt;Objetivos!$E$26:$E$45+Objetivos!$H$26:$H$45)*Objetivos!$G$26:$G$45)*12*(1+Objetivos!$B$6)^B72-N72)</f>
        <v>0</v>
      </c>
      <c r="S72" s="148">
        <f>IF(B72&gt;=Objetivos!$B$11,0,IF(B72=1,Objetivos!$E$21*12+Objetivos!$C$21+Objetivos!$D$21,Objetivos!$E$21*12*(1+Objetivos!$B$9)^(B72-1)))</f>
        <v>0</v>
      </c>
      <c r="T72" s="149">
        <f>MAX(0,(T71-W71)*(1+Objetivos!$B$21)+S72)</f>
        <v>355319.387621344</v>
      </c>
      <c r="U72" s="148">
        <f>MAX(0,U71-IF(T71=0,0,V71*U71/T71)+S72)</f>
        <v>31046.6296831578</v>
      </c>
      <c r="V72" s="150">
        <f>MIN(T72,SUMIFS(Objetivos!$I$26:$I$45,Objetivos!$E$26:$E$45,B72,Objetivos!$C$26:$C$45,"Único",Objetivos!$B$26:$B$45,Objetivos!$A$21)+SUMPRODUCT(((Objetivos!$C$26:$C$45="Renta")+(Objetivos!$C$26:$C$45="Jubilación"))*(Objetivos!$B$26:$B$45=Objetivos!$A$21)*(B72&gt;=Objetivos!$E$26:$E$45)*(B72&lt;Objetivos!$E$26:$E$45+Objetivos!$H$26:$H$45)*Objetivos!$G$26:$G$45)*12*(1+Objetivos!$B$6)^B72)</f>
        <v>0</v>
      </c>
      <c r="W72" s="148">
        <f>V72+IF(T72=0,0,V72*MAX(0,T72-U72)/T72)*Objetivos!$B$7</f>
        <v>0</v>
      </c>
      <c r="X72" s="151">
        <f>MAX(0,SUMIFS(Objetivos!$I$26:$I$45,Objetivos!$E$26:$E$45,B72,Objetivos!$C$26:$C$45,"Único",Objetivos!$B$26:$B$45,Objetivos!$A$21)+SUMPRODUCT(((Objetivos!$C$26:$C$45="Renta")+(Objetivos!$C$26:$C$45="Jubilación"))*(Objetivos!$B$26:$B$45=Objetivos!$A$21)*(B72&gt;=Objetivos!$E$26:$E$45)*(B72&lt;Objetivos!$E$26:$E$45+Objetivos!$H$26:$H$45)*Objetivos!$G$26:$G$45)*12*(1+Objetivos!$B$6)^B72-T72)</f>
        <v>0</v>
      </c>
    </row>
    <row r="73">
      <c r="A73" s="152">
        <f>Objetivos!$B$5+B73</f>
        <v>2094</v>
      </c>
      <c r="B73" s="153" t="n">
        <v>68</v>
      </c>
      <c r="C73" s="154">
        <f>H73+N73+T73</f>
        <v>2708689.95920143</v>
      </c>
      <c r="D73" s="154">
        <f>(H73-MAX(0,H73-I73)*Objetivos!$B$7)+(N73-MAX(0,N73-O73)*Objetivos!$B$7)+(T73-MAX(0,T73-U73)*Objetivos!$B$7)</f>
        <v>2169424.88716986</v>
      </c>
      <c r="E73" s="155">
        <f>G73+M73+S73</f>
        <v>0</v>
      </c>
      <c r="F73" s="156">
        <f>J73+P73+V73</f>
        <v>0</v>
      </c>
      <c r="G73" s="157">
        <f>IF(B73&gt;=Objetivos!$B$11,0,IF(B73=1,Objetivos!$E$19*12+Objetivos!$C$19+Objetivos!$D$19,Objetivos!$E$19*12*(1+Objetivos!$B$9)^(B73-1)))</f>
        <v>0</v>
      </c>
      <c r="H73" s="158">
        <f>MAX(0,(H72-K72)*(1+Objetivos!$B$19)+G73)</f>
        <v>766522.840664711</v>
      </c>
      <c r="I73" s="157">
        <f>MAX(0,I72-IF(H72=0,0,J72*I72/H72)+G73)</f>
        <v>143994.109707777</v>
      </c>
      <c r="J73" s="159">
        <f>MIN(H73,SUMIFS(Objetivos!$I$26:$I$45,Objetivos!$E$26:$E$45,B73,Objetivos!$C$26:$C$45,"Único",Objetivos!$B$26:$B$45,Objetivos!$A$19)+SUMPRODUCT(((Objetivos!$C$26:$C$45="Renta")+(Objetivos!$C$26:$C$45="Jubilación"))*(Objetivos!$B$26:$B$45=Objetivos!$A$19)*(B73&gt;=Objetivos!$E$26:$E$45)*(B73&lt;Objetivos!$E$26:$E$45+Objetivos!$H$26:$H$45)*Objetivos!$G$26:$G$45)*12*(1+Objetivos!$B$6)^B73)</f>
        <v>0</v>
      </c>
      <c r="K73" s="157">
        <f>J73+IF(H73=0,0,J73*MAX(0,H73-I73)/H73)*Objetivos!$B$7</f>
        <v>0</v>
      </c>
      <c r="L73" s="160">
        <f>MAX(0,SUMIFS(Objetivos!$I$26:$I$45,Objetivos!$E$26:$E$45,B73,Objetivos!$C$26:$C$45,"Único",Objetivos!$B$26:$B$45,Objetivos!$A$19)+SUMPRODUCT(((Objetivos!$C$26:$C$45="Renta")+(Objetivos!$C$26:$C$45="Jubilación"))*(Objetivos!$B$26:$B$45=Objetivos!$A$19)*(B73&gt;=Objetivos!$E$26:$E$45)*(B73&lt;Objetivos!$E$26:$E$45+Objetivos!$H$26:$H$45)*Objetivos!$G$26:$G$45)*12*(1+Objetivos!$B$6)^B73-H73)</f>
        <v>0</v>
      </c>
      <c r="M73" s="157">
        <f>IF(B73&gt;=Objetivos!$B$11,0,IF(B73=1,Objetivos!$E$20*12+Objetivos!$C$20+Objetivos!$D$20,Objetivos!$E$20*12*(1+Objetivos!$B$9)^(B73-1)))</f>
        <v>0</v>
      </c>
      <c r="N73" s="158">
        <f>MAX(0,(N72-Q72)*(1+Objetivos!$B$20)+M73)</f>
        <v>1569081.76153431</v>
      </c>
      <c r="O73" s="157">
        <f>MAX(0,O72-IF(N72=0,0,P72*O72/N72)+M73)</f>
        <v>82444.3469397004</v>
      </c>
      <c r="P73" s="159">
        <f>MIN(N73,SUMIFS(Objetivos!$I$26:$I$45,Objetivos!$E$26:$E$45,B73,Objetivos!$C$26:$C$45,"Único",Objetivos!$B$26:$B$45,Objetivos!$A$20)+SUMPRODUCT(((Objetivos!$C$26:$C$45="Renta")+(Objetivos!$C$26:$C$45="Jubilación"))*(Objetivos!$B$26:$B$45=Objetivos!$A$20)*(B73&gt;=Objetivos!$E$26:$E$45)*(B73&lt;Objetivos!$E$26:$E$45+Objetivos!$H$26:$H$45)*Objetivos!$G$26:$G$45)*12*(1+Objetivos!$B$6)^B73)</f>
        <v>0</v>
      </c>
      <c r="Q73" s="157">
        <f>P73+IF(N73=0,0,P73*MAX(0,N73-O73)/N73)*Objetivos!$B$7</f>
        <v>0</v>
      </c>
      <c r="R73" s="160">
        <f>MAX(0,SUMIFS(Objetivos!$I$26:$I$45,Objetivos!$E$26:$E$45,B73,Objetivos!$C$26:$C$45,"Único",Objetivos!$B$26:$B$45,Objetivos!$A$20)+SUMPRODUCT(((Objetivos!$C$26:$C$45="Renta")+(Objetivos!$C$26:$C$45="Jubilación"))*(Objetivos!$B$26:$B$45=Objetivos!$A$20)*(B73&gt;=Objetivos!$E$26:$E$45)*(B73&lt;Objetivos!$E$26:$E$45+Objetivos!$H$26:$H$45)*Objetivos!$G$26:$G$45)*12*(1+Objetivos!$B$6)^B73-N73)</f>
        <v>0</v>
      </c>
      <c r="S73" s="157">
        <f>IF(B73&gt;=Objetivos!$B$11,0,IF(B73=1,Objetivos!$E$21*12+Objetivos!$C$21+Objetivos!$D$21,Objetivos!$E$21*12*(1+Objetivos!$B$9)^(B73-1)))</f>
        <v>0</v>
      </c>
      <c r="T73" s="158">
        <f>MAX(0,(T72-W72)*(1+Objetivos!$B$21)+S73)</f>
        <v>373085.357002411</v>
      </c>
      <c r="U73" s="157">
        <f>MAX(0,U72-IF(T72=0,0,V72*U72/T72)+S73)</f>
        <v>31046.6296831578</v>
      </c>
      <c r="V73" s="159">
        <f>MIN(T73,SUMIFS(Objetivos!$I$26:$I$45,Objetivos!$E$26:$E$45,B73,Objetivos!$C$26:$C$45,"Único",Objetivos!$B$26:$B$45,Objetivos!$A$21)+SUMPRODUCT(((Objetivos!$C$26:$C$45="Renta")+(Objetivos!$C$26:$C$45="Jubilación"))*(Objetivos!$B$26:$B$45=Objetivos!$A$21)*(B73&gt;=Objetivos!$E$26:$E$45)*(B73&lt;Objetivos!$E$26:$E$45+Objetivos!$H$26:$H$45)*Objetivos!$G$26:$G$45)*12*(1+Objetivos!$B$6)^B73)</f>
        <v>0</v>
      </c>
      <c r="W73" s="157">
        <f>V73+IF(T73=0,0,V73*MAX(0,T73-U73)/T73)*Objetivos!$B$7</f>
        <v>0</v>
      </c>
      <c r="X73" s="160">
        <f>MAX(0,SUMIFS(Objetivos!$I$26:$I$45,Objetivos!$E$26:$E$45,B73,Objetivos!$C$26:$C$45,"Único",Objetivos!$B$26:$B$45,Objetivos!$A$21)+SUMPRODUCT(((Objetivos!$C$26:$C$45="Renta")+(Objetivos!$C$26:$C$45="Jubilación"))*(Objetivos!$B$26:$B$45=Objetivos!$A$21)*(B73&gt;=Objetivos!$E$26:$E$45)*(B73&lt;Objetivos!$E$26:$E$45+Objetivos!$H$26:$H$45)*Objetivos!$G$26:$G$45)*12*(1+Objetivos!$B$6)^B73-T73)</f>
        <v>0</v>
      </c>
    </row>
    <row r="74">
      <c r="A74" s="144">
        <f>Objetivos!$B$5+B74</f>
        <v>2095</v>
      </c>
      <c r="B74" s="145" t="n">
        <v>69</v>
      </c>
      <c r="C74" s="126">
        <f>H74+N74+T74</f>
        <v>2848317.43216688</v>
      </c>
      <c r="D74" s="126">
        <f>(H74-MAX(0,H74-I74)*Objetivos!$B$7)+(N74-MAX(0,N74-O74)*Objetivos!$B$7)+(T74-MAX(0,T74-U74)*Objetivos!$B$7)</f>
        <v>2278334.3160829</v>
      </c>
      <c r="E74" s="146">
        <f>G74+M74+S74</f>
        <v>0</v>
      </c>
      <c r="F74" s="147">
        <f>J74+P74+V74</f>
        <v>0</v>
      </c>
      <c r="G74" s="148">
        <f>IF(B74&gt;=Objetivos!$B$11,0,IF(B74=1,Objetivos!$E$19*12+Objetivos!$C$19+Objetivos!$D$19,Objetivos!$E$19*12*(1+Objetivos!$B$9)^(B74-1)))</f>
        <v>0</v>
      </c>
      <c r="H74" s="149">
        <f>MAX(0,(H73-K73)*(1+Objetivos!$B$19)+G74)</f>
        <v>793351.140087975</v>
      </c>
      <c r="I74" s="148">
        <f>MAX(0,I73-IF(H73=0,0,J73*I73/H73)+G74)</f>
        <v>143994.109707777</v>
      </c>
      <c r="J74" s="150">
        <f>MIN(H74,SUMIFS(Objetivos!$I$26:$I$45,Objetivos!$E$26:$E$45,B74,Objetivos!$C$26:$C$45,"Único",Objetivos!$B$26:$B$45,Objetivos!$A$19)+SUMPRODUCT(((Objetivos!$C$26:$C$45="Renta")+(Objetivos!$C$26:$C$45="Jubilación"))*(Objetivos!$B$26:$B$45=Objetivos!$A$19)*(B74&gt;=Objetivos!$E$26:$E$45)*(B74&lt;Objetivos!$E$26:$E$45+Objetivos!$H$26:$H$45)*Objetivos!$G$26:$G$45)*12*(1+Objetivos!$B$6)^B74)</f>
        <v>0</v>
      </c>
      <c r="K74" s="148">
        <f>J74+IF(H74=0,0,J74*MAX(0,H74-I74)/H74)*Objetivos!$B$7</f>
        <v>0</v>
      </c>
      <c r="L74" s="151">
        <f>MAX(0,SUMIFS(Objetivos!$I$26:$I$45,Objetivos!$E$26:$E$45,B74,Objetivos!$C$26:$C$45,"Único",Objetivos!$B$26:$B$45,Objetivos!$A$19)+SUMPRODUCT(((Objetivos!$C$26:$C$45="Renta")+(Objetivos!$C$26:$C$45="Jubilación"))*(Objetivos!$B$26:$B$45=Objetivos!$A$19)*(B74&gt;=Objetivos!$E$26:$E$45)*(B74&lt;Objetivos!$E$26:$E$45+Objetivos!$H$26:$H$45)*Objetivos!$G$26:$G$45)*12*(1+Objetivos!$B$6)^B74-H74)</f>
        <v>0</v>
      </c>
      <c r="M74" s="148">
        <f>IF(B74&gt;=Objetivos!$B$11,0,IF(B74=1,Objetivos!$E$20*12+Objetivos!$C$20+Objetivos!$D$20,Objetivos!$E$20*12*(1+Objetivos!$B$9)^(B74-1)))</f>
        <v>0</v>
      </c>
      <c r="N74" s="149">
        <f>MAX(0,(N73-Q73)*(1+Objetivos!$B$20)+M74)</f>
        <v>1663226.66722637</v>
      </c>
      <c r="O74" s="148">
        <f>MAX(0,O73-IF(N73=0,0,P73*O73/N73)+M74)</f>
        <v>82444.3469397004</v>
      </c>
      <c r="P74" s="150">
        <f>MIN(N74,SUMIFS(Objetivos!$I$26:$I$45,Objetivos!$E$26:$E$45,B74,Objetivos!$C$26:$C$45,"Único",Objetivos!$B$26:$B$45,Objetivos!$A$20)+SUMPRODUCT(((Objetivos!$C$26:$C$45="Renta")+(Objetivos!$C$26:$C$45="Jubilación"))*(Objetivos!$B$26:$B$45=Objetivos!$A$20)*(B74&gt;=Objetivos!$E$26:$E$45)*(B74&lt;Objetivos!$E$26:$E$45+Objetivos!$H$26:$H$45)*Objetivos!$G$26:$G$45)*12*(1+Objetivos!$B$6)^B74)</f>
        <v>0</v>
      </c>
      <c r="Q74" s="148">
        <f>P74+IF(N74=0,0,P74*MAX(0,N74-O74)/N74)*Objetivos!$B$7</f>
        <v>0</v>
      </c>
      <c r="R74" s="151">
        <f>MAX(0,SUMIFS(Objetivos!$I$26:$I$45,Objetivos!$E$26:$E$45,B74,Objetivos!$C$26:$C$45,"Único",Objetivos!$B$26:$B$45,Objetivos!$A$20)+SUMPRODUCT(((Objetivos!$C$26:$C$45="Renta")+(Objetivos!$C$26:$C$45="Jubilación"))*(Objetivos!$B$26:$B$45=Objetivos!$A$20)*(B74&gt;=Objetivos!$E$26:$E$45)*(B74&lt;Objetivos!$E$26:$E$45+Objetivos!$H$26:$H$45)*Objetivos!$G$26:$G$45)*12*(1+Objetivos!$B$6)^B74-N74)</f>
        <v>0</v>
      </c>
      <c r="S74" s="148">
        <f>IF(B74&gt;=Objetivos!$B$11,0,IF(B74=1,Objetivos!$E$21*12+Objetivos!$C$21+Objetivos!$D$21,Objetivos!$E$21*12*(1+Objetivos!$B$9)^(B74-1)))</f>
        <v>0</v>
      </c>
      <c r="T74" s="149">
        <f>MAX(0,(T73-W73)*(1+Objetivos!$B$21)+S74)</f>
        <v>391739.624852532</v>
      </c>
      <c r="U74" s="148">
        <f>MAX(0,U73-IF(T73=0,0,V73*U73/T73)+S74)</f>
        <v>31046.6296831578</v>
      </c>
      <c r="V74" s="150">
        <f>MIN(T74,SUMIFS(Objetivos!$I$26:$I$45,Objetivos!$E$26:$E$45,B74,Objetivos!$C$26:$C$45,"Único",Objetivos!$B$26:$B$45,Objetivos!$A$21)+SUMPRODUCT(((Objetivos!$C$26:$C$45="Renta")+(Objetivos!$C$26:$C$45="Jubilación"))*(Objetivos!$B$26:$B$45=Objetivos!$A$21)*(B74&gt;=Objetivos!$E$26:$E$45)*(B74&lt;Objetivos!$E$26:$E$45+Objetivos!$H$26:$H$45)*Objetivos!$G$26:$G$45)*12*(1+Objetivos!$B$6)^B74)</f>
        <v>0</v>
      </c>
      <c r="W74" s="148">
        <f>V74+IF(T74=0,0,V74*MAX(0,T74-U74)/T74)*Objetivos!$B$7</f>
        <v>0</v>
      </c>
      <c r="X74" s="151">
        <f>MAX(0,SUMIFS(Objetivos!$I$26:$I$45,Objetivos!$E$26:$E$45,B74,Objetivos!$C$26:$C$45,"Único",Objetivos!$B$26:$B$45,Objetivos!$A$21)+SUMPRODUCT(((Objetivos!$C$26:$C$45="Renta")+(Objetivos!$C$26:$C$45="Jubilación"))*(Objetivos!$B$26:$B$45=Objetivos!$A$21)*(B74&gt;=Objetivos!$E$26:$E$45)*(B74&lt;Objetivos!$E$26:$E$45+Objetivos!$H$26:$H$45)*Objetivos!$G$26:$G$45)*12*(1+Objetivos!$B$6)^B74-T74)</f>
        <v>0</v>
      </c>
    </row>
    <row r="75">
      <c r="A75" s="152">
        <f>Objetivos!$B$5+B75</f>
        <v>2096</v>
      </c>
      <c r="B75" s="153" t="n">
        <v>70</v>
      </c>
      <c r="C75" s="154">
        <f>H75+N75+T75</f>
        <v>2995465.30334616</v>
      </c>
      <c r="D75" s="154">
        <f>(H75-MAX(0,H75-I75)*Objetivos!$B$7)+(N75-MAX(0,N75-O75)*Objetivos!$B$7)+(T75-MAX(0,T75-U75)*Objetivos!$B$7)</f>
        <v>2393109.65560275</v>
      </c>
      <c r="E75" s="155">
        <f>G75+M75+S75</f>
        <v>0</v>
      </c>
      <c r="F75" s="156">
        <f>J75+P75+V75</f>
        <v>0</v>
      </c>
      <c r="G75" s="157">
        <f>IF(B75&gt;=Objetivos!$B$11,0,IF(B75=1,Objetivos!$E$19*12+Objetivos!$C$19+Objetivos!$D$19,Objetivos!$E$19*12*(1+Objetivos!$B$9)^(B75-1)))</f>
        <v>0</v>
      </c>
      <c r="H75" s="158">
        <f>MAX(0,(H74-K74)*(1+Objetivos!$B$19)+G75)</f>
        <v>821118.429991054</v>
      </c>
      <c r="I75" s="157">
        <f>MAX(0,I74-IF(H74=0,0,J74*I74/H74)+G75)</f>
        <v>143994.109707777</v>
      </c>
      <c r="J75" s="159">
        <f>MIN(H75,SUMIFS(Objetivos!$I$26:$I$45,Objetivos!$E$26:$E$45,B75,Objetivos!$C$26:$C$45,"Único",Objetivos!$B$26:$B$45,Objetivos!$A$19)+SUMPRODUCT(((Objetivos!$C$26:$C$45="Renta")+(Objetivos!$C$26:$C$45="Jubilación"))*(Objetivos!$B$26:$B$45=Objetivos!$A$19)*(B75&gt;=Objetivos!$E$26:$E$45)*(B75&lt;Objetivos!$E$26:$E$45+Objetivos!$H$26:$H$45)*Objetivos!$G$26:$G$45)*12*(1+Objetivos!$B$6)^B75)</f>
        <v>0</v>
      </c>
      <c r="K75" s="157">
        <f>J75+IF(H75=0,0,J75*MAX(0,H75-I75)/H75)*Objetivos!$B$7</f>
        <v>0</v>
      </c>
      <c r="L75" s="160">
        <f>MAX(0,SUMIFS(Objetivos!$I$26:$I$45,Objetivos!$E$26:$E$45,B75,Objetivos!$C$26:$C$45,"Único",Objetivos!$B$26:$B$45,Objetivos!$A$19)+SUMPRODUCT(((Objetivos!$C$26:$C$45="Renta")+(Objetivos!$C$26:$C$45="Jubilación"))*(Objetivos!$B$26:$B$45=Objetivos!$A$19)*(B75&gt;=Objetivos!$E$26:$E$45)*(B75&lt;Objetivos!$E$26:$E$45+Objetivos!$H$26:$H$45)*Objetivos!$G$26:$G$45)*12*(1+Objetivos!$B$6)^B75-H75)</f>
        <v>0</v>
      </c>
      <c r="M75" s="157">
        <f>IF(B75&gt;=Objetivos!$B$11,0,IF(B75=1,Objetivos!$E$20*12+Objetivos!$C$20+Objetivos!$D$20,Objetivos!$E$20*12*(1+Objetivos!$B$9)^(B75-1)))</f>
        <v>0</v>
      </c>
      <c r="N75" s="158">
        <f>MAX(0,(N74-Q74)*(1+Objetivos!$B$20)+M75)</f>
        <v>1763020.26725995</v>
      </c>
      <c r="O75" s="157">
        <f>MAX(0,O74-IF(N74=0,0,P74*O74/N74)+M75)</f>
        <v>82444.3469397004</v>
      </c>
      <c r="P75" s="159">
        <f>MIN(N75,SUMIFS(Objetivos!$I$26:$I$45,Objetivos!$E$26:$E$45,B75,Objetivos!$C$26:$C$45,"Único",Objetivos!$B$26:$B$45,Objetivos!$A$20)+SUMPRODUCT(((Objetivos!$C$26:$C$45="Renta")+(Objetivos!$C$26:$C$45="Jubilación"))*(Objetivos!$B$26:$B$45=Objetivos!$A$20)*(B75&gt;=Objetivos!$E$26:$E$45)*(B75&lt;Objetivos!$E$26:$E$45+Objetivos!$H$26:$H$45)*Objetivos!$G$26:$G$45)*12*(1+Objetivos!$B$6)^B75)</f>
        <v>0</v>
      </c>
      <c r="Q75" s="157">
        <f>P75+IF(N75=0,0,P75*MAX(0,N75-O75)/N75)*Objetivos!$B$7</f>
        <v>0</v>
      </c>
      <c r="R75" s="160">
        <f>MAX(0,SUMIFS(Objetivos!$I$26:$I$45,Objetivos!$E$26:$E$45,B75,Objetivos!$C$26:$C$45,"Único",Objetivos!$B$26:$B$45,Objetivos!$A$20)+SUMPRODUCT(((Objetivos!$C$26:$C$45="Renta")+(Objetivos!$C$26:$C$45="Jubilación"))*(Objetivos!$B$26:$B$45=Objetivos!$A$20)*(B75&gt;=Objetivos!$E$26:$E$45)*(B75&lt;Objetivos!$E$26:$E$45+Objetivos!$H$26:$H$45)*Objetivos!$G$26:$G$45)*12*(1+Objetivos!$B$6)^B75-N75)</f>
        <v>0</v>
      </c>
      <c r="S75" s="157">
        <f>IF(B75&gt;=Objetivos!$B$11,0,IF(B75=1,Objetivos!$E$21*12+Objetivos!$C$21+Objetivos!$D$21,Objetivos!$E$21*12*(1+Objetivos!$B$9)^(B75-1)))</f>
        <v>0</v>
      </c>
      <c r="T75" s="158">
        <f>MAX(0,(T74-W74)*(1+Objetivos!$B$21)+S75)</f>
        <v>411326.606095158</v>
      </c>
      <c r="U75" s="157">
        <f>MAX(0,U74-IF(T74=0,0,V74*U74/T74)+S75)</f>
        <v>31046.6296831578</v>
      </c>
      <c r="V75" s="159">
        <f>MIN(T75,SUMIFS(Objetivos!$I$26:$I$45,Objetivos!$E$26:$E$45,B75,Objetivos!$C$26:$C$45,"Único",Objetivos!$B$26:$B$45,Objetivos!$A$21)+SUMPRODUCT(((Objetivos!$C$26:$C$45="Renta")+(Objetivos!$C$26:$C$45="Jubilación"))*(Objetivos!$B$26:$B$45=Objetivos!$A$21)*(B75&gt;=Objetivos!$E$26:$E$45)*(B75&lt;Objetivos!$E$26:$E$45+Objetivos!$H$26:$H$45)*Objetivos!$G$26:$G$45)*12*(1+Objetivos!$B$6)^B75)</f>
        <v>0</v>
      </c>
      <c r="W75" s="157">
        <f>V75+IF(T75=0,0,V75*MAX(0,T75-U75)/T75)*Objetivos!$B$7</f>
        <v>0</v>
      </c>
      <c r="X75" s="160">
        <f>MAX(0,SUMIFS(Objetivos!$I$26:$I$45,Objetivos!$E$26:$E$45,B75,Objetivos!$C$26:$C$45,"Único",Objetivos!$B$26:$B$45,Objetivos!$A$21)+SUMPRODUCT(((Objetivos!$C$26:$C$45="Renta")+(Objetivos!$C$26:$C$45="Jubilación"))*(Objetivos!$B$26:$B$45=Objetivos!$A$21)*(B75&gt;=Objetivos!$E$26:$E$45)*(B75&lt;Objetivos!$E$26:$E$45+Objetivos!$H$26:$H$45)*Objetivos!$G$26:$G$45)*12*(1+Objetivos!$B$6)^B75-T75)</f>
        <v>0</v>
      </c>
    </row>
    <row r="76">
      <c r="A76" s="144">
        <f>Objetivos!$B$5+B76</f>
        <v>2097</v>
      </c>
      <c r="B76" s="145" t="n">
        <v>71</v>
      </c>
      <c r="C76" s="126">
        <f>H76+N76+T76</f>
        <v>3150551.99473621</v>
      </c>
      <c r="D76" s="126">
        <f>(H76-MAX(0,H76-I76)*Objetivos!$B$7)+(N76-MAX(0,N76-O76)*Objetivos!$B$7)+(T76-MAX(0,T76-U76)*Objetivos!$B$7)</f>
        <v>2514077.27488698</v>
      </c>
      <c r="E76" s="146">
        <f>G76+M76+S76</f>
        <v>0</v>
      </c>
      <c r="F76" s="147">
        <f>J76+P76+V76</f>
        <v>0</v>
      </c>
      <c r="G76" s="148">
        <f>IF(B76&gt;=Objetivos!$B$11,0,IF(B76=1,Objetivos!$E$19*12+Objetivos!$C$19+Objetivos!$D$19,Objetivos!$E$19*12*(1+Objetivos!$B$9)^(B76-1)))</f>
        <v>0</v>
      </c>
      <c r="H76" s="149">
        <f>MAX(0,(H75-K75)*(1+Objetivos!$B$19)+G76)</f>
        <v>849857.575040741</v>
      </c>
      <c r="I76" s="148">
        <f>MAX(0,I75-IF(H75=0,0,J75*I75/H75)+G76)</f>
        <v>143994.109707777</v>
      </c>
      <c r="J76" s="150">
        <f>MIN(H76,SUMIFS(Objetivos!$I$26:$I$45,Objetivos!$E$26:$E$45,B76,Objetivos!$C$26:$C$45,"Único",Objetivos!$B$26:$B$45,Objetivos!$A$19)+SUMPRODUCT(((Objetivos!$C$26:$C$45="Renta")+(Objetivos!$C$26:$C$45="Jubilación"))*(Objetivos!$B$26:$B$45=Objetivos!$A$19)*(B76&gt;=Objetivos!$E$26:$E$45)*(B76&lt;Objetivos!$E$26:$E$45+Objetivos!$H$26:$H$45)*Objetivos!$G$26:$G$45)*12*(1+Objetivos!$B$6)^B76)</f>
        <v>0</v>
      </c>
      <c r="K76" s="148">
        <f>J76+IF(H76=0,0,J76*MAX(0,H76-I76)/H76)*Objetivos!$B$7</f>
        <v>0</v>
      </c>
      <c r="L76" s="151">
        <f>MAX(0,SUMIFS(Objetivos!$I$26:$I$45,Objetivos!$E$26:$E$45,B76,Objetivos!$C$26:$C$45,"Único",Objetivos!$B$26:$B$45,Objetivos!$A$19)+SUMPRODUCT(((Objetivos!$C$26:$C$45="Renta")+(Objetivos!$C$26:$C$45="Jubilación"))*(Objetivos!$B$26:$B$45=Objetivos!$A$19)*(B76&gt;=Objetivos!$E$26:$E$45)*(B76&lt;Objetivos!$E$26:$E$45+Objetivos!$H$26:$H$45)*Objetivos!$G$26:$G$45)*12*(1+Objetivos!$B$6)^B76-H76)</f>
        <v>0</v>
      </c>
      <c r="M76" s="148">
        <f>IF(B76&gt;=Objetivos!$B$11,0,IF(B76=1,Objetivos!$E$20*12+Objetivos!$C$20+Objetivos!$D$20,Objetivos!$E$20*12*(1+Objetivos!$B$9)^(B76-1)))</f>
        <v>0</v>
      </c>
      <c r="N76" s="149">
        <f>MAX(0,(N75-Q75)*(1+Objetivos!$B$20)+M76)</f>
        <v>1868801.48329555</v>
      </c>
      <c r="O76" s="148">
        <f>MAX(0,O75-IF(N75=0,0,P75*O75/N75)+M76)</f>
        <v>82444.3469397004</v>
      </c>
      <c r="P76" s="150">
        <f>MIN(N76,SUMIFS(Objetivos!$I$26:$I$45,Objetivos!$E$26:$E$45,B76,Objetivos!$C$26:$C$45,"Único",Objetivos!$B$26:$B$45,Objetivos!$A$20)+SUMPRODUCT(((Objetivos!$C$26:$C$45="Renta")+(Objetivos!$C$26:$C$45="Jubilación"))*(Objetivos!$B$26:$B$45=Objetivos!$A$20)*(B76&gt;=Objetivos!$E$26:$E$45)*(B76&lt;Objetivos!$E$26:$E$45+Objetivos!$H$26:$H$45)*Objetivos!$G$26:$G$45)*12*(1+Objetivos!$B$6)^B76)</f>
        <v>0</v>
      </c>
      <c r="Q76" s="148">
        <f>P76+IF(N76=0,0,P76*MAX(0,N76-O76)/N76)*Objetivos!$B$7</f>
        <v>0</v>
      </c>
      <c r="R76" s="151">
        <f>MAX(0,SUMIFS(Objetivos!$I$26:$I$45,Objetivos!$E$26:$E$45,B76,Objetivos!$C$26:$C$45,"Único",Objetivos!$B$26:$B$45,Objetivos!$A$20)+SUMPRODUCT(((Objetivos!$C$26:$C$45="Renta")+(Objetivos!$C$26:$C$45="Jubilación"))*(Objetivos!$B$26:$B$45=Objetivos!$A$20)*(B76&gt;=Objetivos!$E$26:$E$45)*(B76&lt;Objetivos!$E$26:$E$45+Objetivos!$H$26:$H$45)*Objetivos!$G$26:$G$45)*12*(1+Objetivos!$B$6)^B76-N76)</f>
        <v>0</v>
      </c>
      <c r="S76" s="148">
        <f>IF(B76&gt;=Objetivos!$B$11,0,IF(B76=1,Objetivos!$E$21*12+Objetivos!$C$21+Objetivos!$D$21,Objetivos!$E$21*12*(1+Objetivos!$B$9)^(B76-1)))</f>
        <v>0</v>
      </c>
      <c r="T76" s="149">
        <f>MAX(0,(T75-W75)*(1+Objetivos!$B$21)+S76)</f>
        <v>431892.936399916</v>
      </c>
      <c r="U76" s="148">
        <f>MAX(0,U75-IF(T75=0,0,V75*U75/T75)+S76)</f>
        <v>31046.6296831578</v>
      </c>
      <c r="V76" s="150">
        <f>MIN(T76,SUMIFS(Objetivos!$I$26:$I$45,Objetivos!$E$26:$E$45,B76,Objetivos!$C$26:$C$45,"Único",Objetivos!$B$26:$B$45,Objetivos!$A$21)+SUMPRODUCT(((Objetivos!$C$26:$C$45="Renta")+(Objetivos!$C$26:$C$45="Jubilación"))*(Objetivos!$B$26:$B$45=Objetivos!$A$21)*(B76&gt;=Objetivos!$E$26:$E$45)*(B76&lt;Objetivos!$E$26:$E$45+Objetivos!$H$26:$H$45)*Objetivos!$G$26:$G$45)*12*(1+Objetivos!$B$6)^B76)</f>
        <v>0</v>
      </c>
      <c r="W76" s="148">
        <f>V76+IF(T76=0,0,V76*MAX(0,T76-U76)/T76)*Objetivos!$B$7</f>
        <v>0</v>
      </c>
      <c r="X76" s="151">
        <f>MAX(0,SUMIFS(Objetivos!$I$26:$I$45,Objetivos!$E$26:$E$45,B76,Objetivos!$C$26:$C$45,"Único",Objetivos!$B$26:$B$45,Objetivos!$A$21)+SUMPRODUCT(((Objetivos!$C$26:$C$45="Renta")+(Objetivos!$C$26:$C$45="Jubilación"))*(Objetivos!$B$26:$B$45=Objetivos!$A$21)*(B76&gt;=Objetivos!$E$26:$E$45)*(B76&lt;Objetivos!$E$26:$E$45+Objetivos!$H$26:$H$45)*Objetivos!$G$26:$G$45)*12*(1+Objetivos!$B$6)^B76-T76)</f>
        <v>0</v>
      </c>
    </row>
    <row r="77">
      <c r="A77" s="152">
        <f>Objetivos!$B$5+B77</f>
        <v>2098</v>
      </c>
      <c r="B77" s="153" t="n">
        <v>72</v>
      </c>
      <c r="C77" s="154">
        <f>H77+N77+T77</f>
        <v>3314019.74568036</v>
      </c>
      <c r="D77" s="154">
        <f>(H77-MAX(0,H77-I77)*Objetivos!$B$7)+(N77-MAX(0,N77-O77)*Objetivos!$B$7)+(T77-MAX(0,T77-U77)*Objetivos!$B$7)</f>
        <v>2641582.12062342</v>
      </c>
      <c r="E77" s="155">
        <f>G77+M77+S77</f>
        <v>0</v>
      </c>
      <c r="F77" s="156">
        <f>J77+P77+V77</f>
        <v>0</v>
      </c>
      <c r="G77" s="157">
        <f>IF(B77&gt;=Objetivos!$B$11,0,IF(B77=1,Objetivos!$E$19*12+Objetivos!$C$19+Objetivos!$D$19,Objetivos!$E$19*12*(1+Objetivos!$B$9)^(B77-1)))</f>
        <v>0</v>
      </c>
      <c r="H77" s="158">
        <f>MAX(0,(H76-K76)*(1+Objetivos!$B$19)+G77)</f>
        <v>879602.590167167</v>
      </c>
      <c r="I77" s="157">
        <f>MAX(0,I76-IF(H76=0,0,J76*I76/H76)+G77)</f>
        <v>143994.109707777</v>
      </c>
      <c r="J77" s="159">
        <f>MIN(H77,SUMIFS(Objetivos!$I$26:$I$45,Objetivos!$E$26:$E$45,B77,Objetivos!$C$26:$C$45,"Único",Objetivos!$B$26:$B$45,Objetivos!$A$19)+SUMPRODUCT(((Objetivos!$C$26:$C$45="Renta")+(Objetivos!$C$26:$C$45="Jubilación"))*(Objetivos!$B$26:$B$45=Objetivos!$A$19)*(B77&gt;=Objetivos!$E$26:$E$45)*(B77&lt;Objetivos!$E$26:$E$45+Objetivos!$H$26:$H$45)*Objetivos!$G$26:$G$45)*12*(1+Objetivos!$B$6)^B77)</f>
        <v>0</v>
      </c>
      <c r="K77" s="157">
        <f>J77+IF(H77=0,0,J77*MAX(0,H77-I77)/H77)*Objetivos!$B$7</f>
        <v>0</v>
      </c>
      <c r="L77" s="160">
        <f>MAX(0,SUMIFS(Objetivos!$I$26:$I$45,Objetivos!$E$26:$E$45,B77,Objetivos!$C$26:$C$45,"Único",Objetivos!$B$26:$B$45,Objetivos!$A$19)+SUMPRODUCT(((Objetivos!$C$26:$C$45="Renta")+(Objetivos!$C$26:$C$45="Jubilación"))*(Objetivos!$B$26:$B$45=Objetivos!$A$19)*(B77&gt;=Objetivos!$E$26:$E$45)*(B77&lt;Objetivos!$E$26:$E$45+Objetivos!$H$26:$H$45)*Objetivos!$G$26:$G$45)*12*(1+Objetivos!$B$6)^B77-H77)</f>
        <v>0</v>
      </c>
      <c r="M77" s="157">
        <f>IF(B77&gt;=Objetivos!$B$11,0,IF(B77=1,Objetivos!$E$20*12+Objetivos!$C$20+Objetivos!$D$20,Objetivos!$E$20*12*(1+Objetivos!$B$9)^(B77-1)))</f>
        <v>0</v>
      </c>
      <c r="N77" s="158">
        <f>MAX(0,(N76-Q76)*(1+Objetivos!$B$20)+M77)</f>
        <v>1980929.57229328</v>
      </c>
      <c r="O77" s="157">
        <f>MAX(0,O76-IF(N76=0,0,P76*O76/N76)+M77)</f>
        <v>82444.3469397004</v>
      </c>
      <c r="P77" s="159">
        <f>MIN(N77,SUMIFS(Objetivos!$I$26:$I$45,Objetivos!$E$26:$E$45,B77,Objetivos!$C$26:$C$45,"Único",Objetivos!$B$26:$B$45,Objetivos!$A$20)+SUMPRODUCT(((Objetivos!$C$26:$C$45="Renta")+(Objetivos!$C$26:$C$45="Jubilación"))*(Objetivos!$B$26:$B$45=Objetivos!$A$20)*(B77&gt;=Objetivos!$E$26:$E$45)*(B77&lt;Objetivos!$E$26:$E$45+Objetivos!$H$26:$H$45)*Objetivos!$G$26:$G$45)*12*(1+Objetivos!$B$6)^B77)</f>
        <v>0</v>
      </c>
      <c r="Q77" s="157">
        <f>P77+IF(N77=0,0,P77*MAX(0,N77-O77)/N77)*Objetivos!$B$7</f>
        <v>0</v>
      </c>
      <c r="R77" s="160">
        <f>MAX(0,SUMIFS(Objetivos!$I$26:$I$45,Objetivos!$E$26:$E$45,B77,Objetivos!$C$26:$C$45,"Único",Objetivos!$B$26:$B$45,Objetivos!$A$20)+SUMPRODUCT(((Objetivos!$C$26:$C$45="Renta")+(Objetivos!$C$26:$C$45="Jubilación"))*(Objetivos!$B$26:$B$45=Objetivos!$A$20)*(B77&gt;=Objetivos!$E$26:$E$45)*(B77&lt;Objetivos!$E$26:$E$45+Objetivos!$H$26:$H$45)*Objetivos!$G$26:$G$45)*12*(1+Objetivos!$B$6)^B77-N77)</f>
        <v>0</v>
      </c>
      <c r="S77" s="157">
        <f>IF(B77&gt;=Objetivos!$B$11,0,IF(B77=1,Objetivos!$E$21*12+Objetivos!$C$21+Objetivos!$D$21,Objetivos!$E$21*12*(1+Objetivos!$B$9)^(B77-1)))</f>
        <v>0</v>
      </c>
      <c r="T77" s="158">
        <f>MAX(0,(T76-W76)*(1+Objetivos!$B$21)+S77)</f>
        <v>453487.583219912</v>
      </c>
      <c r="U77" s="157">
        <f>MAX(0,U76-IF(T76=0,0,V76*U76/T76)+S77)</f>
        <v>31046.6296831578</v>
      </c>
      <c r="V77" s="159">
        <f>MIN(T77,SUMIFS(Objetivos!$I$26:$I$45,Objetivos!$E$26:$E$45,B77,Objetivos!$C$26:$C$45,"Único",Objetivos!$B$26:$B$45,Objetivos!$A$21)+SUMPRODUCT(((Objetivos!$C$26:$C$45="Renta")+(Objetivos!$C$26:$C$45="Jubilación"))*(Objetivos!$B$26:$B$45=Objetivos!$A$21)*(B77&gt;=Objetivos!$E$26:$E$45)*(B77&lt;Objetivos!$E$26:$E$45+Objetivos!$H$26:$H$45)*Objetivos!$G$26:$G$45)*12*(1+Objetivos!$B$6)^B77)</f>
        <v>0</v>
      </c>
      <c r="W77" s="157">
        <f>V77+IF(T77=0,0,V77*MAX(0,T77-U77)/T77)*Objetivos!$B$7</f>
        <v>0</v>
      </c>
      <c r="X77" s="160">
        <f>MAX(0,SUMIFS(Objetivos!$I$26:$I$45,Objetivos!$E$26:$E$45,B77,Objetivos!$C$26:$C$45,"Único",Objetivos!$B$26:$B$45,Objetivos!$A$21)+SUMPRODUCT(((Objetivos!$C$26:$C$45="Renta")+(Objetivos!$C$26:$C$45="Jubilación"))*(Objetivos!$B$26:$B$45=Objetivos!$A$21)*(B77&gt;=Objetivos!$E$26:$E$45)*(B77&lt;Objetivos!$E$26:$E$45+Objetivos!$H$26:$H$45)*Objetivos!$G$26:$G$45)*12*(1+Objetivos!$B$6)^B77-T77)</f>
        <v>0</v>
      </c>
    </row>
    <row r="78">
      <c r="A78" s="144">
        <f>Objetivos!$B$5+B78</f>
        <v>2099</v>
      </c>
      <c r="B78" s="145" t="n">
        <v>73</v>
      </c>
      <c r="C78" s="126">
        <f>H78+N78+T78</f>
        <v>3486335.9898348</v>
      </c>
      <c r="D78" s="126">
        <f>(H78-MAX(0,H78-I78)*Objetivos!$B$7)+(N78-MAX(0,N78-O78)*Objetivos!$B$7)+(T78-MAX(0,T78-U78)*Objetivos!$B$7)</f>
        <v>2775988.79106389</v>
      </c>
      <c r="E78" s="146">
        <f>G78+M78+S78</f>
        <v>0</v>
      </c>
      <c r="F78" s="147">
        <f>J78+P78+V78</f>
        <v>0</v>
      </c>
      <c r="G78" s="148">
        <f>IF(B78&gt;=Objetivos!$B$11,0,IF(B78=1,Objetivos!$E$19*12+Objetivos!$C$19+Objetivos!$D$19,Objetivos!$E$19*12*(1+Objetivos!$B$9)^(B78-1)))</f>
        <v>0</v>
      </c>
      <c r="H78" s="149">
        <f>MAX(0,(H77-K77)*(1+Objetivos!$B$19)+G78)</f>
        <v>910388.680823018</v>
      </c>
      <c r="I78" s="148">
        <f>MAX(0,I77-IF(H77=0,0,J77*I77/H77)+G78)</f>
        <v>143994.109707777</v>
      </c>
      <c r="J78" s="150">
        <f>MIN(H78,SUMIFS(Objetivos!$I$26:$I$45,Objetivos!$E$26:$E$45,B78,Objetivos!$C$26:$C$45,"Único",Objetivos!$B$26:$B$45,Objetivos!$A$19)+SUMPRODUCT(((Objetivos!$C$26:$C$45="Renta")+(Objetivos!$C$26:$C$45="Jubilación"))*(Objetivos!$B$26:$B$45=Objetivos!$A$19)*(B78&gt;=Objetivos!$E$26:$E$45)*(B78&lt;Objetivos!$E$26:$E$45+Objetivos!$H$26:$H$45)*Objetivos!$G$26:$G$45)*12*(1+Objetivos!$B$6)^B78)</f>
        <v>0</v>
      </c>
      <c r="K78" s="148">
        <f>J78+IF(H78=0,0,J78*MAX(0,H78-I78)/H78)*Objetivos!$B$7</f>
        <v>0</v>
      </c>
      <c r="L78" s="151">
        <f>MAX(0,SUMIFS(Objetivos!$I$26:$I$45,Objetivos!$E$26:$E$45,B78,Objetivos!$C$26:$C$45,"Único",Objetivos!$B$26:$B$45,Objetivos!$A$19)+SUMPRODUCT(((Objetivos!$C$26:$C$45="Renta")+(Objetivos!$C$26:$C$45="Jubilación"))*(Objetivos!$B$26:$B$45=Objetivos!$A$19)*(B78&gt;=Objetivos!$E$26:$E$45)*(B78&lt;Objetivos!$E$26:$E$45+Objetivos!$H$26:$H$45)*Objetivos!$G$26:$G$45)*12*(1+Objetivos!$B$6)^B78-H78)</f>
        <v>0</v>
      </c>
      <c r="M78" s="148">
        <f>IF(B78&gt;=Objetivos!$B$11,0,IF(B78=1,Objetivos!$E$20*12+Objetivos!$C$20+Objetivos!$D$20,Objetivos!$E$20*12*(1+Objetivos!$B$9)^(B78-1)))</f>
        <v>0</v>
      </c>
      <c r="N78" s="149">
        <f>MAX(0,(N77-Q77)*(1+Objetivos!$B$20)+M78)</f>
        <v>2099785.34663088</v>
      </c>
      <c r="O78" s="148">
        <f>MAX(0,O77-IF(N77=0,0,P77*O77/N77)+M78)</f>
        <v>82444.3469397004</v>
      </c>
      <c r="P78" s="150">
        <f>MIN(N78,SUMIFS(Objetivos!$I$26:$I$45,Objetivos!$E$26:$E$45,B78,Objetivos!$C$26:$C$45,"Único",Objetivos!$B$26:$B$45,Objetivos!$A$20)+SUMPRODUCT(((Objetivos!$C$26:$C$45="Renta")+(Objetivos!$C$26:$C$45="Jubilación"))*(Objetivos!$B$26:$B$45=Objetivos!$A$20)*(B78&gt;=Objetivos!$E$26:$E$45)*(B78&lt;Objetivos!$E$26:$E$45+Objetivos!$H$26:$H$45)*Objetivos!$G$26:$G$45)*12*(1+Objetivos!$B$6)^B78)</f>
        <v>0</v>
      </c>
      <c r="Q78" s="148">
        <f>P78+IF(N78=0,0,P78*MAX(0,N78-O78)/N78)*Objetivos!$B$7</f>
        <v>0</v>
      </c>
      <c r="R78" s="151">
        <f>MAX(0,SUMIFS(Objetivos!$I$26:$I$45,Objetivos!$E$26:$E$45,B78,Objetivos!$C$26:$C$45,"Único",Objetivos!$B$26:$B$45,Objetivos!$A$20)+SUMPRODUCT(((Objetivos!$C$26:$C$45="Renta")+(Objetivos!$C$26:$C$45="Jubilación"))*(Objetivos!$B$26:$B$45=Objetivos!$A$20)*(B78&gt;=Objetivos!$E$26:$E$45)*(B78&lt;Objetivos!$E$26:$E$45+Objetivos!$H$26:$H$45)*Objetivos!$G$26:$G$45)*12*(1+Objetivos!$B$6)^B78-N78)</f>
        <v>0</v>
      </c>
      <c r="S78" s="148">
        <f>IF(B78&gt;=Objetivos!$B$11,0,IF(B78=1,Objetivos!$E$21*12+Objetivos!$C$21+Objetivos!$D$21,Objetivos!$E$21*12*(1+Objetivos!$B$9)^(B78-1)))</f>
        <v>0</v>
      </c>
      <c r="T78" s="149">
        <f>MAX(0,(T77-W77)*(1+Objetivos!$B$21)+S78)</f>
        <v>476161.962380908</v>
      </c>
      <c r="U78" s="148">
        <f>MAX(0,U77-IF(T77=0,0,V77*U77/T77)+S78)</f>
        <v>31046.6296831578</v>
      </c>
      <c r="V78" s="150">
        <f>MIN(T78,SUMIFS(Objetivos!$I$26:$I$45,Objetivos!$E$26:$E$45,B78,Objetivos!$C$26:$C$45,"Único",Objetivos!$B$26:$B$45,Objetivos!$A$21)+SUMPRODUCT(((Objetivos!$C$26:$C$45="Renta")+(Objetivos!$C$26:$C$45="Jubilación"))*(Objetivos!$B$26:$B$45=Objetivos!$A$21)*(B78&gt;=Objetivos!$E$26:$E$45)*(B78&lt;Objetivos!$E$26:$E$45+Objetivos!$H$26:$H$45)*Objetivos!$G$26:$G$45)*12*(1+Objetivos!$B$6)^B78)</f>
        <v>0</v>
      </c>
      <c r="W78" s="148">
        <f>V78+IF(T78=0,0,V78*MAX(0,T78-U78)/T78)*Objetivos!$B$7</f>
        <v>0</v>
      </c>
      <c r="X78" s="151">
        <f>MAX(0,SUMIFS(Objetivos!$I$26:$I$45,Objetivos!$E$26:$E$45,B78,Objetivos!$C$26:$C$45,"Único",Objetivos!$B$26:$B$45,Objetivos!$A$21)+SUMPRODUCT(((Objetivos!$C$26:$C$45="Renta")+(Objetivos!$C$26:$C$45="Jubilación"))*(Objetivos!$B$26:$B$45=Objetivos!$A$21)*(B78&gt;=Objetivos!$E$26:$E$45)*(B78&lt;Objetivos!$E$26:$E$45+Objetivos!$H$26:$H$45)*Objetivos!$G$26:$G$45)*12*(1+Objetivos!$B$6)^B78-T78)</f>
        <v>0</v>
      </c>
    </row>
    <row r="79">
      <c r="A79" s="152">
        <f>Objetivos!$B$5+B79</f>
        <v>2100</v>
      </c>
      <c r="B79" s="153" t="n">
        <v>74</v>
      </c>
      <c r="C79" s="154">
        <f>H79+N79+T79</f>
        <v>3667994.81258051</v>
      </c>
      <c r="D79" s="154">
        <f>(H79-MAX(0,H79-I79)*Objetivos!$B$7)+(N79-MAX(0,N79-O79)*Objetivos!$B$7)+(T79-MAX(0,T79-U79)*Objetivos!$B$7)</f>
        <v>2917682.67280554</v>
      </c>
      <c r="E79" s="155">
        <f>G79+M79+S79</f>
        <v>0</v>
      </c>
      <c r="F79" s="156">
        <f>J79+P79+V79</f>
        <v>0</v>
      </c>
      <c r="G79" s="157">
        <f>IF(B79&gt;=Objetivos!$B$11,0,IF(B79=1,Objetivos!$E$19*12+Objetivos!$C$19+Objetivos!$D$19,Objetivos!$E$19*12*(1+Objetivos!$B$9)^(B79-1)))</f>
        <v>0</v>
      </c>
      <c r="H79" s="158">
        <f>MAX(0,(H78-K78)*(1+Objetivos!$B$19)+G79)</f>
        <v>942252.284651824</v>
      </c>
      <c r="I79" s="157">
        <f>MAX(0,I78-IF(H78=0,0,J78*I78/H78)+G79)</f>
        <v>143994.109707777</v>
      </c>
      <c r="J79" s="159">
        <f>MIN(H79,SUMIFS(Objetivos!$I$26:$I$45,Objetivos!$E$26:$E$45,B79,Objetivos!$C$26:$C$45,"Único",Objetivos!$B$26:$B$45,Objetivos!$A$19)+SUMPRODUCT(((Objetivos!$C$26:$C$45="Renta")+(Objetivos!$C$26:$C$45="Jubilación"))*(Objetivos!$B$26:$B$45=Objetivos!$A$19)*(B79&gt;=Objetivos!$E$26:$E$45)*(B79&lt;Objetivos!$E$26:$E$45+Objetivos!$H$26:$H$45)*Objetivos!$G$26:$G$45)*12*(1+Objetivos!$B$6)^B79)</f>
        <v>0</v>
      </c>
      <c r="K79" s="157">
        <f>J79+IF(H79=0,0,J79*MAX(0,H79-I79)/H79)*Objetivos!$B$7</f>
        <v>0</v>
      </c>
      <c r="L79" s="160">
        <f>MAX(0,SUMIFS(Objetivos!$I$26:$I$45,Objetivos!$E$26:$E$45,B79,Objetivos!$C$26:$C$45,"Único",Objetivos!$B$26:$B$45,Objetivos!$A$19)+SUMPRODUCT(((Objetivos!$C$26:$C$45="Renta")+(Objetivos!$C$26:$C$45="Jubilación"))*(Objetivos!$B$26:$B$45=Objetivos!$A$19)*(B79&gt;=Objetivos!$E$26:$E$45)*(B79&lt;Objetivos!$E$26:$E$45+Objetivos!$H$26:$H$45)*Objetivos!$G$26:$G$45)*12*(1+Objetivos!$B$6)^B79-H79)</f>
        <v>0</v>
      </c>
      <c r="M79" s="157">
        <f>IF(B79&gt;=Objetivos!$B$11,0,IF(B79=1,Objetivos!$E$20*12+Objetivos!$C$20+Objetivos!$D$20,Objetivos!$E$20*12*(1+Objetivos!$B$9)^(B79-1)))</f>
        <v>0</v>
      </c>
      <c r="N79" s="158">
        <f>MAX(0,(N78-Q78)*(1+Objetivos!$B$20)+M79)</f>
        <v>2225772.46742873</v>
      </c>
      <c r="O79" s="157">
        <f>MAX(0,O78-IF(N78=0,0,P78*O78/N78)+M79)</f>
        <v>82444.3469397004</v>
      </c>
      <c r="P79" s="159">
        <f>MIN(N79,SUMIFS(Objetivos!$I$26:$I$45,Objetivos!$E$26:$E$45,B79,Objetivos!$C$26:$C$45,"Único",Objetivos!$B$26:$B$45,Objetivos!$A$20)+SUMPRODUCT(((Objetivos!$C$26:$C$45="Renta")+(Objetivos!$C$26:$C$45="Jubilación"))*(Objetivos!$B$26:$B$45=Objetivos!$A$20)*(B79&gt;=Objetivos!$E$26:$E$45)*(B79&lt;Objetivos!$E$26:$E$45+Objetivos!$H$26:$H$45)*Objetivos!$G$26:$G$45)*12*(1+Objetivos!$B$6)^B79)</f>
        <v>0</v>
      </c>
      <c r="Q79" s="157">
        <f>P79+IF(N79=0,0,P79*MAX(0,N79-O79)/N79)*Objetivos!$B$7</f>
        <v>0</v>
      </c>
      <c r="R79" s="160">
        <f>MAX(0,SUMIFS(Objetivos!$I$26:$I$45,Objetivos!$E$26:$E$45,B79,Objetivos!$C$26:$C$45,"Único",Objetivos!$B$26:$B$45,Objetivos!$A$20)+SUMPRODUCT(((Objetivos!$C$26:$C$45="Renta")+(Objetivos!$C$26:$C$45="Jubilación"))*(Objetivos!$B$26:$B$45=Objetivos!$A$20)*(B79&gt;=Objetivos!$E$26:$E$45)*(B79&lt;Objetivos!$E$26:$E$45+Objetivos!$H$26:$H$45)*Objetivos!$G$26:$G$45)*12*(1+Objetivos!$B$6)^B79-N79)</f>
        <v>0</v>
      </c>
      <c r="S79" s="157">
        <f>IF(B79&gt;=Objetivos!$B$11,0,IF(B79=1,Objetivos!$E$21*12+Objetivos!$C$21+Objetivos!$D$21,Objetivos!$E$21*12*(1+Objetivos!$B$9)^(B79-1)))</f>
        <v>0</v>
      </c>
      <c r="T79" s="158">
        <f>MAX(0,(T78-W78)*(1+Objetivos!$B$21)+S79)</f>
        <v>499970.060499953</v>
      </c>
      <c r="U79" s="157">
        <f>MAX(0,U78-IF(T78=0,0,V78*U78/T78)+S79)</f>
        <v>31046.6296831578</v>
      </c>
      <c r="V79" s="159">
        <f>MIN(T79,SUMIFS(Objetivos!$I$26:$I$45,Objetivos!$E$26:$E$45,B79,Objetivos!$C$26:$C$45,"Único",Objetivos!$B$26:$B$45,Objetivos!$A$21)+SUMPRODUCT(((Objetivos!$C$26:$C$45="Renta")+(Objetivos!$C$26:$C$45="Jubilación"))*(Objetivos!$B$26:$B$45=Objetivos!$A$21)*(B79&gt;=Objetivos!$E$26:$E$45)*(B79&lt;Objetivos!$E$26:$E$45+Objetivos!$H$26:$H$45)*Objetivos!$G$26:$G$45)*12*(1+Objetivos!$B$6)^B79)</f>
        <v>0</v>
      </c>
      <c r="W79" s="157">
        <f>V79+IF(T79=0,0,V79*MAX(0,T79-U79)/T79)*Objetivos!$B$7</f>
        <v>0</v>
      </c>
      <c r="X79" s="160">
        <f>MAX(0,SUMIFS(Objetivos!$I$26:$I$45,Objetivos!$E$26:$E$45,B79,Objetivos!$C$26:$C$45,"Único",Objetivos!$B$26:$B$45,Objetivos!$A$21)+SUMPRODUCT(((Objetivos!$C$26:$C$45="Renta")+(Objetivos!$C$26:$C$45="Jubilación"))*(Objetivos!$B$26:$B$45=Objetivos!$A$21)*(B79&gt;=Objetivos!$E$26:$E$45)*(B79&lt;Objetivos!$E$26:$E$45+Objetivos!$H$26:$H$45)*Objetivos!$G$26:$G$45)*12*(1+Objetivos!$B$6)^B79-T79)</f>
        <v>0</v>
      </c>
    </row>
    <row r="80">
      <c r="A80" s="144">
        <f>Objetivos!$B$5+B80</f>
        <v>2101</v>
      </c>
      <c r="B80" s="145" t="n">
        <v>75</v>
      </c>
      <c r="C80" s="126">
        <f>H80+N80+T80</f>
        <v>3859518.49361404</v>
      </c>
      <c r="D80" s="126">
        <f>(H80-MAX(0,H80-I80)*Objetivos!$B$7)+(N80-MAX(0,N80-O80)*Objetivos!$B$7)+(T80-MAX(0,T80-U80)*Objetivos!$B$7)</f>
        <v>3067071.14401169</v>
      </c>
      <c r="E80" s="146">
        <f>G80+M80+S80</f>
        <v>0</v>
      </c>
      <c r="F80" s="147">
        <f>J80+P80+V80</f>
        <v>0</v>
      </c>
      <c r="G80" s="148">
        <f>IF(B80&gt;=Objetivos!$B$11,0,IF(B80=1,Objetivos!$E$19*12+Objetivos!$C$19+Objetivos!$D$19,Objetivos!$E$19*12*(1+Objetivos!$B$9)^(B80-1)))</f>
        <v>0</v>
      </c>
      <c r="H80" s="149">
        <f>MAX(0,(H79-K79)*(1+Objetivos!$B$19)+G80)</f>
        <v>975231.114614637</v>
      </c>
      <c r="I80" s="148">
        <f>MAX(0,I79-IF(H79=0,0,J79*I79/H79)+G80)</f>
        <v>143994.109707777</v>
      </c>
      <c r="J80" s="150">
        <f>MIN(H80,SUMIFS(Objetivos!$I$26:$I$45,Objetivos!$E$26:$E$45,B80,Objetivos!$C$26:$C$45,"Único",Objetivos!$B$26:$B$45,Objetivos!$A$19)+SUMPRODUCT(((Objetivos!$C$26:$C$45="Renta")+(Objetivos!$C$26:$C$45="Jubilación"))*(Objetivos!$B$26:$B$45=Objetivos!$A$19)*(B80&gt;=Objetivos!$E$26:$E$45)*(B80&lt;Objetivos!$E$26:$E$45+Objetivos!$H$26:$H$45)*Objetivos!$G$26:$G$45)*12*(1+Objetivos!$B$6)^B80)</f>
        <v>0</v>
      </c>
      <c r="K80" s="148">
        <f>J80+IF(H80=0,0,J80*MAX(0,H80-I80)/H80)*Objetivos!$B$7</f>
        <v>0</v>
      </c>
      <c r="L80" s="151">
        <f>MAX(0,SUMIFS(Objetivos!$I$26:$I$45,Objetivos!$E$26:$E$45,B80,Objetivos!$C$26:$C$45,"Único",Objetivos!$B$26:$B$45,Objetivos!$A$19)+SUMPRODUCT(((Objetivos!$C$26:$C$45="Renta")+(Objetivos!$C$26:$C$45="Jubilación"))*(Objetivos!$B$26:$B$45=Objetivos!$A$19)*(B80&gt;=Objetivos!$E$26:$E$45)*(B80&lt;Objetivos!$E$26:$E$45+Objetivos!$H$26:$H$45)*Objetivos!$G$26:$G$45)*12*(1+Objetivos!$B$6)^B80-H80)</f>
        <v>0</v>
      </c>
      <c r="M80" s="148">
        <f>IF(B80&gt;=Objetivos!$B$11,0,IF(B80=1,Objetivos!$E$20*12+Objetivos!$C$20+Objetivos!$D$20,Objetivos!$E$20*12*(1+Objetivos!$B$9)^(B80-1)))</f>
        <v>0</v>
      </c>
      <c r="N80" s="149">
        <f>MAX(0,(N79-Q79)*(1+Objetivos!$B$20)+M80)</f>
        <v>2359318.81547446</v>
      </c>
      <c r="O80" s="148">
        <f>MAX(0,O79-IF(N79=0,0,P79*O79/N79)+M80)</f>
        <v>82444.3469397004</v>
      </c>
      <c r="P80" s="150">
        <f>MIN(N80,SUMIFS(Objetivos!$I$26:$I$45,Objetivos!$E$26:$E$45,B80,Objetivos!$C$26:$C$45,"Único",Objetivos!$B$26:$B$45,Objetivos!$A$20)+SUMPRODUCT(((Objetivos!$C$26:$C$45="Renta")+(Objetivos!$C$26:$C$45="Jubilación"))*(Objetivos!$B$26:$B$45=Objetivos!$A$20)*(B80&gt;=Objetivos!$E$26:$E$45)*(B80&lt;Objetivos!$E$26:$E$45+Objetivos!$H$26:$H$45)*Objetivos!$G$26:$G$45)*12*(1+Objetivos!$B$6)^B80)</f>
        <v>0</v>
      </c>
      <c r="Q80" s="148">
        <f>P80+IF(N80=0,0,P80*MAX(0,N80-O80)/N80)*Objetivos!$B$7</f>
        <v>0</v>
      </c>
      <c r="R80" s="151">
        <f>MAX(0,SUMIFS(Objetivos!$I$26:$I$45,Objetivos!$E$26:$E$45,B80,Objetivos!$C$26:$C$45,"Único",Objetivos!$B$26:$B$45,Objetivos!$A$20)+SUMPRODUCT(((Objetivos!$C$26:$C$45="Renta")+(Objetivos!$C$26:$C$45="Jubilación"))*(Objetivos!$B$26:$B$45=Objetivos!$A$20)*(B80&gt;=Objetivos!$E$26:$E$45)*(B80&lt;Objetivos!$E$26:$E$45+Objetivos!$H$26:$H$45)*Objetivos!$G$26:$G$45)*12*(1+Objetivos!$B$6)^B80-N80)</f>
        <v>0</v>
      </c>
      <c r="S80" s="148">
        <f>IF(B80&gt;=Objetivos!$B$11,0,IF(B80=1,Objetivos!$E$21*12+Objetivos!$C$21+Objetivos!$D$21,Objetivos!$E$21*12*(1+Objetivos!$B$9)^(B80-1)))</f>
        <v>0</v>
      </c>
      <c r="T80" s="149">
        <f>MAX(0,(T79-W79)*(1+Objetivos!$B$21)+S80)</f>
        <v>524968.563524951</v>
      </c>
      <c r="U80" s="148">
        <f>MAX(0,U79-IF(T79=0,0,V79*U79/T79)+S80)</f>
        <v>31046.6296831578</v>
      </c>
      <c r="V80" s="150">
        <f>MIN(T80,SUMIFS(Objetivos!$I$26:$I$45,Objetivos!$E$26:$E$45,B80,Objetivos!$C$26:$C$45,"Único",Objetivos!$B$26:$B$45,Objetivos!$A$21)+SUMPRODUCT(((Objetivos!$C$26:$C$45="Renta")+(Objetivos!$C$26:$C$45="Jubilación"))*(Objetivos!$B$26:$B$45=Objetivos!$A$21)*(B80&gt;=Objetivos!$E$26:$E$45)*(B80&lt;Objetivos!$E$26:$E$45+Objetivos!$H$26:$H$45)*Objetivos!$G$26:$G$45)*12*(1+Objetivos!$B$6)^B80)</f>
        <v>0</v>
      </c>
      <c r="W80" s="148">
        <f>V80+IF(T80=0,0,V80*MAX(0,T80-U80)/T80)*Objetivos!$B$7</f>
        <v>0</v>
      </c>
      <c r="X80" s="151">
        <f>MAX(0,SUMIFS(Objetivos!$I$26:$I$45,Objetivos!$E$26:$E$45,B80,Objetivos!$C$26:$C$45,"Único",Objetivos!$B$26:$B$45,Objetivos!$A$21)+SUMPRODUCT(((Objetivos!$C$26:$C$45="Renta")+(Objetivos!$C$26:$C$45="Jubilación"))*(Objetivos!$B$26:$B$45=Objetivos!$A$21)*(B80&gt;=Objetivos!$E$26:$E$45)*(B80&lt;Objetivos!$E$26:$E$45+Objetivos!$H$26:$H$45)*Objetivos!$G$26:$G$45)*12*(1+Objetivos!$B$6)^B80-T80)</f>
        <v>0</v>
      </c>
    </row>
    <row r="81">
      <c r="A81" s="152">
        <f>Objetivos!$B$5+B81</f>
        <v>2102</v>
      </c>
      <c r="B81" s="153" t="n">
        <v>76</v>
      </c>
      <c r="C81" s="154">
        <f>H81+N81+T81</f>
        <v>4061459.13973027</v>
      </c>
      <c r="D81" s="154">
        <f>(H81-MAX(0,H81-I81)*Objetivos!$B$7)+(N81-MAX(0,N81-O81)*Objetivos!$B$7)+(T81-MAX(0,T81-U81)*Objetivos!$B$7)</f>
        <v>3224584.84798235</v>
      </c>
      <c r="E81" s="155">
        <f>G81+M81+S81</f>
        <v>0</v>
      </c>
      <c r="F81" s="156">
        <f>J81+P81+V81</f>
        <v>0</v>
      </c>
      <c r="G81" s="157">
        <f>IF(B81&gt;=Objetivos!$B$11,0,IF(B81=1,Objetivos!$E$19*12+Objetivos!$C$19+Objetivos!$D$19,Objetivos!$E$19*12*(1+Objetivos!$B$9)^(B81-1)))</f>
        <v>0</v>
      </c>
      <c r="H81" s="158">
        <f>MAX(0,(H80-K80)*(1+Objetivos!$B$19)+G81)</f>
        <v>1009364.20362615</v>
      </c>
      <c r="I81" s="157">
        <f>MAX(0,I80-IF(H80=0,0,J80*I80/H80)+G81)</f>
        <v>143994.109707777</v>
      </c>
      <c r="J81" s="159">
        <f>MIN(H81,SUMIFS(Objetivos!$I$26:$I$45,Objetivos!$E$26:$E$45,B81,Objetivos!$C$26:$C$45,"Único",Objetivos!$B$26:$B$45,Objetivos!$A$19)+SUMPRODUCT(((Objetivos!$C$26:$C$45="Renta")+(Objetivos!$C$26:$C$45="Jubilación"))*(Objetivos!$B$26:$B$45=Objetivos!$A$19)*(B81&gt;=Objetivos!$E$26:$E$45)*(B81&lt;Objetivos!$E$26:$E$45+Objetivos!$H$26:$H$45)*Objetivos!$G$26:$G$45)*12*(1+Objetivos!$B$6)^B81)</f>
        <v>0</v>
      </c>
      <c r="K81" s="157">
        <f>J81+IF(H81=0,0,J81*MAX(0,H81-I81)/H81)*Objetivos!$B$7</f>
        <v>0</v>
      </c>
      <c r="L81" s="160">
        <f>MAX(0,SUMIFS(Objetivos!$I$26:$I$45,Objetivos!$E$26:$E$45,B81,Objetivos!$C$26:$C$45,"Único",Objetivos!$B$26:$B$45,Objetivos!$A$19)+SUMPRODUCT(((Objetivos!$C$26:$C$45="Renta")+(Objetivos!$C$26:$C$45="Jubilación"))*(Objetivos!$B$26:$B$45=Objetivos!$A$19)*(B81&gt;=Objetivos!$E$26:$E$45)*(B81&lt;Objetivos!$E$26:$E$45+Objetivos!$H$26:$H$45)*Objetivos!$G$26:$G$45)*12*(1+Objetivos!$B$6)^B81-H81)</f>
        <v>0</v>
      </c>
      <c r="M81" s="157">
        <f>IF(B81&gt;=Objetivos!$B$11,0,IF(B81=1,Objetivos!$E$20*12+Objetivos!$C$20+Objetivos!$D$20,Objetivos!$E$20*12*(1+Objetivos!$B$9)^(B81-1)))</f>
        <v>0</v>
      </c>
      <c r="N81" s="158">
        <f>MAX(0,(N80-Q80)*(1+Objetivos!$B$20)+M81)</f>
        <v>2500877.94440292</v>
      </c>
      <c r="O81" s="157">
        <f>MAX(0,O80-IF(N80=0,0,P80*O80/N80)+M81)</f>
        <v>82444.3469397004</v>
      </c>
      <c r="P81" s="159">
        <f>MIN(N81,SUMIFS(Objetivos!$I$26:$I$45,Objetivos!$E$26:$E$45,B81,Objetivos!$C$26:$C$45,"Único",Objetivos!$B$26:$B$45,Objetivos!$A$20)+SUMPRODUCT(((Objetivos!$C$26:$C$45="Renta")+(Objetivos!$C$26:$C$45="Jubilación"))*(Objetivos!$B$26:$B$45=Objetivos!$A$20)*(B81&gt;=Objetivos!$E$26:$E$45)*(B81&lt;Objetivos!$E$26:$E$45+Objetivos!$H$26:$H$45)*Objetivos!$G$26:$G$45)*12*(1+Objetivos!$B$6)^B81)</f>
        <v>0</v>
      </c>
      <c r="Q81" s="157">
        <f>P81+IF(N81=0,0,P81*MAX(0,N81-O81)/N81)*Objetivos!$B$7</f>
        <v>0</v>
      </c>
      <c r="R81" s="160">
        <f>MAX(0,SUMIFS(Objetivos!$I$26:$I$45,Objetivos!$E$26:$E$45,B81,Objetivos!$C$26:$C$45,"Único",Objetivos!$B$26:$B$45,Objetivos!$A$20)+SUMPRODUCT(((Objetivos!$C$26:$C$45="Renta")+(Objetivos!$C$26:$C$45="Jubilación"))*(Objetivos!$B$26:$B$45=Objetivos!$A$20)*(B81&gt;=Objetivos!$E$26:$E$45)*(B81&lt;Objetivos!$E$26:$E$45+Objetivos!$H$26:$H$45)*Objetivos!$G$26:$G$45)*12*(1+Objetivos!$B$6)^B81-N81)</f>
        <v>0</v>
      </c>
      <c r="S81" s="157">
        <f>IF(B81&gt;=Objetivos!$B$11,0,IF(B81=1,Objetivos!$E$21*12+Objetivos!$C$21+Objetivos!$D$21,Objetivos!$E$21*12*(1+Objetivos!$B$9)^(B81-1)))</f>
        <v>0</v>
      </c>
      <c r="T81" s="158">
        <f>MAX(0,(T80-W80)*(1+Objetivos!$B$21)+S81)</f>
        <v>551216.991701198</v>
      </c>
      <c r="U81" s="157">
        <f>MAX(0,U80-IF(T80=0,0,V80*U80/T80)+S81)</f>
        <v>31046.6296831578</v>
      </c>
      <c r="V81" s="159">
        <f>MIN(T81,SUMIFS(Objetivos!$I$26:$I$45,Objetivos!$E$26:$E$45,B81,Objetivos!$C$26:$C$45,"Único",Objetivos!$B$26:$B$45,Objetivos!$A$21)+SUMPRODUCT(((Objetivos!$C$26:$C$45="Renta")+(Objetivos!$C$26:$C$45="Jubilación"))*(Objetivos!$B$26:$B$45=Objetivos!$A$21)*(B81&gt;=Objetivos!$E$26:$E$45)*(B81&lt;Objetivos!$E$26:$E$45+Objetivos!$H$26:$H$45)*Objetivos!$G$26:$G$45)*12*(1+Objetivos!$B$6)^B81)</f>
        <v>0</v>
      </c>
      <c r="W81" s="157">
        <f>V81+IF(T81=0,0,V81*MAX(0,T81-U81)/T81)*Objetivos!$B$7</f>
        <v>0</v>
      </c>
      <c r="X81" s="160">
        <f>MAX(0,SUMIFS(Objetivos!$I$26:$I$45,Objetivos!$E$26:$E$45,B81,Objetivos!$C$26:$C$45,"Único",Objetivos!$B$26:$B$45,Objetivos!$A$21)+SUMPRODUCT(((Objetivos!$C$26:$C$45="Renta")+(Objetivos!$C$26:$C$45="Jubilación"))*(Objetivos!$B$26:$B$45=Objetivos!$A$21)*(B81&gt;=Objetivos!$E$26:$E$45)*(B81&lt;Objetivos!$E$26:$E$45+Objetivos!$H$26:$H$45)*Objetivos!$G$26:$G$45)*12*(1+Objetivos!$B$6)^B81-T81)</f>
        <v>0</v>
      </c>
    </row>
    <row r="82">
      <c r="A82" s="144">
        <f>Objetivos!$B$5+B82</f>
        <v>2103</v>
      </c>
      <c r="B82" s="145" t="n">
        <v>77</v>
      </c>
      <c r="C82" s="126">
        <f>H82+N82+T82</f>
        <v>4274400.41310642</v>
      </c>
      <c r="D82" s="126">
        <f>(H82-MAX(0,H82-I82)*Objetivos!$B$7)+(N82-MAX(0,N82-O82)*Objetivos!$B$7)+(T82-MAX(0,T82-U82)*Objetivos!$B$7)</f>
        <v>3390679.04121575</v>
      </c>
      <c r="E82" s="146">
        <f>G82+M82+S82</f>
        <v>0</v>
      </c>
      <c r="F82" s="147">
        <f>J82+P82+V82</f>
        <v>0</v>
      </c>
      <c r="G82" s="148">
        <f>IF(B82&gt;=Objetivos!$B$11,0,IF(B82=1,Objetivos!$E$19*12+Objetivos!$C$19+Objetivos!$D$19,Objetivos!$E$19*12*(1+Objetivos!$B$9)^(B82-1)))</f>
        <v>0</v>
      </c>
      <c r="H82" s="149">
        <f>MAX(0,(H81-K81)*(1+Objetivos!$B$19)+G82)</f>
        <v>1044691.95075306</v>
      </c>
      <c r="I82" s="148">
        <f>MAX(0,I81-IF(H81=0,0,J81*I81/H81)+G82)</f>
        <v>143994.109707777</v>
      </c>
      <c r="J82" s="150">
        <f>MIN(H82,SUMIFS(Objetivos!$I$26:$I$45,Objetivos!$E$26:$E$45,B82,Objetivos!$C$26:$C$45,"Único",Objetivos!$B$26:$B$45,Objetivos!$A$19)+SUMPRODUCT(((Objetivos!$C$26:$C$45="Renta")+(Objetivos!$C$26:$C$45="Jubilación"))*(Objetivos!$B$26:$B$45=Objetivos!$A$19)*(B82&gt;=Objetivos!$E$26:$E$45)*(B82&lt;Objetivos!$E$26:$E$45+Objetivos!$H$26:$H$45)*Objetivos!$G$26:$G$45)*12*(1+Objetivos!$B$6)^B82)</f>
        <v>0</v>
      </c>
      <c r="K82" s="148">
        <f>J82+IF(H82=0,0,J82*MAX(0,H82-I82)/H82)*Objetivos!$B$7</f>
        <v>0</v>
      </c>
      <c r="L82" s="151">
        <f>MAX(0,SUMIFS(Objetivos!$I$26:$I$45,Objetivos!$E$26:$E$45,B82,Objetivos!$C$26:$C$45,"Único",Objetivos!$B$26:$B$45,Objetivos!$A$19)+SUMPRODUCT(((Objetivos!$C$26:$C$45="Renta")+(Objetivos!$C$26:$C$45="Jubilación"))*(Objetivos!$B$26:$B$45=Objetivos!$A$19)*(B82&gt;=Objetivos!$E$26:$E$45)*(B82&lt;Objetivos!$E$26:$E$45+Objetivos!$H$26:$H$45)*Objetivos!$G$26:$G$45)*12*(1+Objetivos!$B$6)^B82-H82)</f>
        <v>0</v>
      </c>
      <c r="M82" s="148">
        <f>IF(B82&gt;=Objetivos!$B$11,0,IF(B82=1,Objetivos!$E$20*12+Objetivos!$C$20+Objetivos!$D$20,Objetivos!$E$20*12*(1+Objetivos!$B$9)^(B82-1)))</f>
        <v>0</v>
      </c>
      <c r="N82" s="149">
        <f>MAX(0,(N81-Q81)*(1+Objetivos!$B$20)+M82)</f>
        <v>2650930.6210671</v>
      </c>
      <c r="O82" s="148">
        <f>MAX(0,O81-IF(N81=0,0,P81*O81/N81)+M82)</f>
        <v>82444.3469397004</v>
      </c>
      <c r="P82" s="150">
        <f>MIN(N82,SUMIFS(Objetivos!$I$26:$I$45,Objetivos!$E$26:$E$45,B82,Objetivos!$C$26:$C$45,"Único",Objetivos!$B$26:$B$45,Objetivos!$A$20)+SUMPRODUCT(((Objetivos!$C$26:$C$45="Renta")+(Objetivos!$C$26:$C$45="Jubilación"))*(Objetivos!$B$26:$B$45=Objetivos!$A$20)*(B82&gt;=Objetivos!$E$26:$E$45)*(B82&lt;Objetivos!$E$26:$E$45+Objetivos!$H$26:$H$45)*Objetivos!$G$26:$G$45)*12*(1+Objetivos!$B$6)^B82)</f>
        <v>0</v>
      </c>
      <c r="Q82" s="148">
        <f>P82+IF(N82=0,0,P82*MAX(0,N82-O82)/N82)*Objetivos!$B$7</f>
        <v>0</v>
      </c>
      <c r="R82" s="151">
        <f>MAX(0,SUMIFS(Objetivos!$I$26:$I$45,Objetivos!$E$26:$E$45,B82,Objetivos!$C$26:$C$45,"Único",Objetivos!$B$26:$B$45,Objetivos!$A$20)+SUMPRODUCT(((Objetivos!$C$26:$C$45="Renta")+(Objetivos!$C$26:$C$45="Jubilación"))*(Objetivos!$B$26:$B$45=Objetivos!$A$20)*(B82&gt;=Objetivos!$E$26:$E$45)*(B82&lt;Objetivos!$E$26:$E$45+Objetivos!$H$26:$H$45)*Objetivos!$G$26:$G$45)*12*(1+Objetivos!$B$6)^B82-N82)</f>
        <v>0</v>
      </c>
      <c r="S82" s="148">
        <f>IF(B82&gt;=Objetivos!$B$11,0,IF(B82=1,Objetivos!$E$21*12+Objetivos!$C$21+Objetivos!$D$21,Objetivos!$E$21*12*(1+Objetivos!$B$9)^(B82-1)))</f>
        <v>0</v>
      </c>
      <c r="T82" s="149">
        <f>MAX(0,(T81-W81)*(1+Objetivos!$B$21)+S82)</f>
        <v>578777.841286258</v>
      </c>
      <c r="U82" s="148">
        <f>MAX(0,U81-IF(T81=0,0,V81*U81/T81)+S82)</f>
        <v>31046.6296831578</v>
      </c>
      <c r="V82" s="150">
        <f>MIN(T82,SUMIFS(Objetivos!$I$26:$I$45,Objetivos!$E$26:$E$45,B82,Objetivos!$C$26:$C$45,"Único",Objetivos!$B$26:$B$45,Objetivos!$A$21)+SUMPRODUCT(((Objetivos!$C$26:$C$45="Renta")+(Objetivos!$C$26:$C$45="Jubilación"))*(Objetivos!$B$26:$B$45=Objetivos!$A$21)*(B82&gt;=Objetivos!$E$26:$E$45)*(B82&lt;Objetivos!$E$26:$E$45+Objetivos!$H$26:$H$45)*Objetivos!$G$26:$G$45)*12*(1+Objetivos!$B$6)^B82)</f>
        <v>0</v>
      </c>
      <c r="W82" s="148">
        <f>V82+IF(T82=0,0,V82*MAX(0,T82-U82)/T82)*Objetivos!$B$7</f>
        <v>0</v>
      </c>
      <c r="X82" s="151">
        <f>MAX(0,SUMIFS(Objetivos!$I$26:$I$45,Objetivos!$E$26:$E$45,B82,Objetivos!$C$26:$C$45,"Único",Objetivos!$B$26:$B$45,Objetivos!$A$21)+SUMPRODUCT(((Objetivos!$C$26:$C$45="Renta")+(Objetivos!$C$26:$C$45="Jubilación"))*(Objetivos!$B$26:$B$45=Objetivos!$A$21)*(B82&gt;=Objetivos!$E$26:$E$45)*(B82&lt;Objetivos!$E$26:$E$45+Objetivos!$H$26:$H$45)*Objetivos!$G$26:$G$45)*12*(1+Objetivos!$B$6)^B82-T82)</f>
        <v>0</v>
      </c>
    </row>
    <row r="83">
      <c r="A83" s="152">
        <f>Objetivos!$B$5+B83</f>
        <v>2104</v>
      </c>
      <c r="B83" s="153" t="n">
        <v>78</v>
      </c>
      <c r="C83" s="154">
        <f>H83+N83+T83</f>
        <v>4498959.36071112</v>
      </c>
      <c r="D83" s="154">
        <f>(H83-MAX(0,H83-I83)*Objetivos!$B$7)+(N83-MAX(0,N83-O83)*Objetivos!$B$7)+(T83-MAX(0,T83-U83)*Objetivos!$B$7)</f>
        <v>3565835.02034741</v>
      </c>
      <c r="E83" s="155">
        <f>G83+M83+S83</f>
        <v>0</v>
      </c>
      <c r="F83" s="156">
        <f>J83+P83+V83</f>
        <v>0</v>
      </c>
      <c r="G83" s="157">
        <f>IF(B83&gt;=Objetivos!$B$11,0,IF(B83=1,Objetivos!$E$19*12+Objetivos!$C$19+Objetivos!$D$19,Objetivos!$E$19*12*(1+Objetivos!$B$9)^(B83-1)))</f>
        <v>0</v>
      </c>
      <c r="H83" s="158">
        <f>MAX(0,(H82-K82)*(1+Objetivos!$B$19)+G83)</f>
        <v>1081256.16902942</v>
      </c>
      <c r="I83" s="157">
        <f>MAX(0,I82-IF(H82=0,0,J82*I82/H82)+G83)</f>
        <v>143994.109707777</v>
      </c>
      <c r="J83" s="159">
        <f>MIN(H83,SUMIFS(Objetivos!$I$26:$I$45,Objetivos!$E$26:$E$45,B83,Objetivos!$C$26:$C$45,"Único",Objetivos!$B$26:$B$45,Objetivos!$A$19)+SUMPRODUCT(((Objetivos!$C$26:$C$45="Renta")+(Objetivos!$C$26:$C$45="Jubilación"))*(Objetivos!$B$26:$B$45=Objetivos!$A$19)*(B83&gt;=Objetivos!$E$26:$E$45)*(B83&lt;Objetivos!$E$26:$E$45+Objetivos!$H$26:$H$45)*Objetivos!$G$26:$G$45)*12*(1+Objetivos!$B$6)^B83)</f>
        <v>0</v>
      </c>
      <c r="K83" s="157">
        <f>J83+IF(H83=0,0,J83*MAX(0,H83-I83)/H83)*Objetivos!$B$7</f>
        <v>0</v>
      </c>
      <c r="L83" s="160">
        <f>MAX(0,SUMIFS(Objetivos!$I$26:$I$45,Objetivos!$E$26:$E$45,B83,Objetivos!$C$26:$C$45,"Único",Objetivos!$B$26:$B$45,Objetivos!$A$19)+SUMPRODUCT(((Objetivos!$C$26:$C$45="Renta")+(Objetivos!$C$26:$C$45="Jubilación"))*(Objetivos!$B$26:$B$45=Objetivos!$A$19)*(B83&gt;=Objetivos!$E$26:$E$45)*(B83&lt;Objetivos!$E$26:$E$45+Objetivos!$H$26:$H$45)*Objetivos!$G$26:$G$45)*12*(1+Objetivos!$B$6)^B83-H83)</f>
        <v>0</v>
      </c>
      <c r="M83" s="157">
        <f>IF(B83&gt;=Objetivos!$B$11,0,IF(B83=1,Objetivos!$E$20*12+Objetivos!$C$20+Objetivos!$D$20,Objetivos!$E$20*12*(1+Objetivos!$B$9)^(B83-1)))</f>
        <v>0</v>
      </c>
      <c r="N83" s="158">
        <f>MAX(0,(N82-Q82)*(1+Objetivos!$B$20)+M83)</f>
        <v>2809986.45833113</v>
      </c>
      <c r="O83" s="157">
        <f>MAX(0,O82-IF(N82=0,0,P82*O82/N82)+M83)</f>
        <v>82444.3469397004</v>
      </c>
      <c r="P83" s="159">
        <f>MIN(N83,SUMIFS(Objetivos!$I$26:$I$45,Objetivos!$E$26:$E$45,B83,Objetivos!$C$26:$C$45,"Único",Objetivos!$B$26:$B$45,Objetivos!$A$20)+SUMPRODUCT(((Objetivos!$C$26:$C$45="Renta")+(Objetivos!$C$26:$C$45="Jubilación"))*(Objetivos!$B$26:$B$45=Objetivos!$A$20)*(B83&gt;=Objetivos!$E$26:$E$45)*(B83&lt;Objetivos!$E$26:$E$45+Objetivos!$H$26:$H$45)*Objetivos!$G$26:$G$45)*12*(1+Objetivos!$B$6)^B83)</f>
        <v>0</v>
      </c>
      <c r="Q83" s="157">
        <f>P83+IF(N83=0,0,P83*MAX(0,N83-O83)/N83)*Objetivos!$B$7</f>
        <v>0</v>
      </c>
      <c r="R83" s="160">
        <f>MAX(0,SUMIFS(Objetivos!$I$26:$I$45,Objetivos!$E$26:$E$45,B83,Objetivos!$C$26:$C$45,"Único",Objetivos!$B$26:$B$45,Objetivos!$A$20)+SUMPRODUCT(((Objetivos!$C$26:$C$45="Renta")+(Objetivos!$C$26:$C$45="Jubilación"))*(Objetivos!$B$26:$B$45=Objetivos!$A$20)*(B83&gt;=Objetivos!$E$26:$E$45)*(B83&lt;Objetivos!$E$26:$E$45+Objetivos!$H$26:$H$45)*Objetivos!$G$26:$G$45)*12*(1+Objetivos!$B$6)^B83-N83)</f>
        <v>0</v>
      </c>
      <c r="S83" s="157">
        <f>IF(B83&gt;=Objetivos!$B$11,0,IF(B83=1,Objetivos!$E$21*12+Objetivos!$C$21+Objetivos!$D$21,Objetivos!$E$21*12*(1+Objetivos!$B$9)^(B83-1)))</f>
        <v>0</v>
      </c>
      <c r="T83" s="158">
        <f>MAX(0,(T82-W82)*(1+Objetivos!$B$21)+S83)</f>
        <v>607716.733350571</v>
      </c>
      <c r="U83" s="157">
        <f>MAX(0,U82-IF(T82=0,0,V82*U82/T82)+S83)</f>
        <v>31046.6296831578</v>
      </c>
      <c r="V83" s="159">
        <f>MIN(T83,SUMIFS(Objetivos!$I$26:$I$45,Objetivos!$E$26:$E$45,B83,Objetivos!$C$26:$C$45,"Único",Objetivos!$B$26:$B$45,Objetivos!$A$21)+SUMPRODUCT(((Objetivos!$C$26:$C$45="Renta")+(Objetivos!$C$26:$C$45="Jubilación"))*(Objetivos!$B$26:$B$45=Objetivos!$A$21)*(B83&gt;=Objetivos!$E$26:$E$45)*(B83&lt;Objetivos!$E$26:$E$45+Objetivos!$H$26:$H$45)*Objetivos!$G$26:$G$45)*12*(1+Objetivos!$B$6)^B83)</f>
        <v>0</v>
      </c>
      <c r="W83" s="157">
        <f>V83+IF(T83=0,0,V83*MAX(0,T83-U83)/T83)*Objetivos!$B$7</f>
        <v>0</v>
      </c>
      <c r="X83" s="160">
        <f>MAX(0,SUMIFS(Objetivos!$I$26:$I$45,Objetivos!$E$26:$E$45,B83,Objetivos!$C$26:$C$45,"Único",Objetivos!$B$26:$B$45,Objetivos!$A$21)+SUMPRODUCT(((Objetivos!$C$26:$C$45="Renta")+(Objetivos!$C$26:$C$45="Jubilación"))*(Objetivos!$B$26:$B$45=Objetivos!$A$21)*(B83&gt;=Objetivos!$E$26:$E$45)*(B83&lt;Objetivos!$E$26:$E$45+Objetivos!$H$26:$H$45)*Objetivos!$G$26:$G$45)*12*(1+Objetivos!$B$6)^B83-T83)</f>
        <v>0</v>
      </c>
    </row>
    <row r="84">
      <c r="A84" s="144">
        <f>Objetivos!$B$5+B84</f>
        <v>2105</v>
      </c>
      <c r="B84" s="145" t="n">
        <v>79</v>
      </c>
      <c r="C84" s="126">
        <f>H84+N84+T84</f>
        <v>4735788.35079454</v>
      </c>
      <c r="D84" s="126">
        <f>(H84-MAX(0,H84-I84)*Objetivos!$B$7)+(N84-MAX(0,N84-O84)*Objetivos!$B$7)+(T84-MAX(0,T84-U84)*Objetivos!$B$7)</f>
        <v>3750561.63261248</v>
      </c>
      <c r="E84" s="146">
        <f>G84+M84+S84</f>
        <v>0</v>
      </c>
      <c r="F84" s="147">
        <f>J84+P84+V84</f>
        <v>0</v>
      </c>
      <c r="G84" s="148">
        <f>IF(B84&gt;=Objetivos!$B$11,0,IF(B84=1,Objetivos!$E$19*12+Objetivos!$C$19+Objetivos!$D$19,Objetivos!$E$19*12*(1+Objetivos!$B$9)^(B84-1)))</f>
        <v>0</v>
      </c>
      <c r="H84" s="149">
        <f>MAX(0,(H83-K83)*(1+Objetivos!$B$19)+G84)</f>
        <v>1119100.13494545</v>
      </c>
      <c r="I84" s="148">
        <f>MAX(0,I83-IF(H83=0,0,J83*I83/H83)+G84)</f>
        <v>143994.109707777</v>
      </c>
      <c r="J84" s="150">
        <f>MIN(H84,SUMIFS(Objetivos!$I$26:$I$45,Objetivos!$E$26:$E$45,B84,Objetivos!$C$26:$C$45,"Único",Objetivos!$B$26:$B$45,Objetivos!$A$19)+SUMPRODUCT(((Objetivos!$C$26:$C$45="Renta")+(Objetivos!$C$26:$C$45="Jubilación"))*(Objetivos!$B$26:$B$45=Objetivos!$A$19)*(B84&gt;=Objetivos!$E$26:$E$45)*(B84&lt;Objetivos!$E$26:$E$45+Objetivos!$H$26:$H$45)*Objetivos!$G$26:$G$45)*12*(1+Objetivos!$B$6)^B84)</f>
        <v>0</v>
      </c>
      <c r="K84" s="148">
        <f>J84+IF(H84=0,0,J84*MAX(0,H84-I84)/H84)*Objetivos!$B$7</f>
        <v>0</v>
      </c>
      <c r="L84" s="151">
        <f>MAX(0,SUMIFS(Objetivos!$I$26:$I$45,Objetivos!$E$26:$E$45,B84,Objetivos!$C$26:$C$45,"Único",Objetivos!$B$26:$B$45,Objetivos!$A$19)+SUMPRODUCT(((Objetivos!$C$26:$C$45="Renta")+(Objetivos!$C$26:$C$45="Jubilación"))*(Objetivos!$B$26:$B$45=Objetivos!$A$19)*(B84&gt;=Objetivos!$E$26:$E$45)*(B84&lt;Objetivos!$E$26:$E$45+Objetivos!$H$26:$H$45)*Objetivos!$G$26:$G$45)*12*(1+Objetivos!$B$6)^B84-H84)</f>
        <v>0</v>
      </c>
      <c r="M84" s="148">
        <f>IF(B84&gt;=Objetivos!$B$11,0,IF(B84=1,Objetivos!$E$20*12+Objetivos!$C$20+Objetivos!$D$20,Objetivos!$E$20*12*(1+Objetivos!$B$9)^(B84-1)))</f>
        <v>0</v>
      </c>
      <c r="N84" s="149">
        <f>MAX(0,(N83-Q83)*(1+Objetivos!$B$20)+M84)</f>
        <v>2978585.64583099</v>
      </c>
      <c r="O84" s="148">
        <f>MAX(0,O83-IF(N83=0,0,P83*O83/N83)+M84)</f>
        <v>82444.3469397004</v>
      </c>
      <c r="P84" s="150">
        <f>MIN(N84,SUMIFS(Objetivos!$I$26:$I$45,Objetivos!$E$26:$E$45,B84,Objetivos!$C$26:$C$45,"Único",Objetivos!$B$26:$B$45,Objetivos!$A$20)+SUMPRODUCT(((Objetivos!$C$26:$C$45="Renta")+(Objetivos!$C$26:$C$45="Jubilación"))*(Objetivos!$B$26:$B$45=Objetivos!$A$20)*(B84&gt;=Objetivos!$E$26:$E$45)*(B84&lt;Objetivos!$E$26:$E$45+Objetivos!$H$26:$H$45)*Objetivos!$G$26:$G$45)*12*(1+Objetivos!$B$6)^B84)</f>
        <v>0</v>
      </c>
      <c r="Q84" s="148">
        <f>P84+IF(N84=0,0,P84*MAX(0,N84-O84)/N84)*Objetivos!$B$7</f>
        <v>0</v>
      </c>
      <c r="R84" s="151">
        <f>MAX(0,SUMIFS(Objetivos!$I$26:$I$45,Objetivos!$E$26:$E$45,B84,Objetivos!$C$26:$C$45,"Único",Objetivos!$B$26:$B$45,Objetivos!$A$20)+SUMPRODUCT(((Objetivos!$C$26:$C$45="Renta")+(Objetivos!$C$26:$C$45="Jubilación"))*(Objetivos!$B$26:$B$45=Objetivos!$A$20)*(B84&gt;=Objetivos!$E$26:$E$45)*(B84&lt;Objetivos!$E$26:$E$45+Objetivos!$H$26:$H$45)*Objetivos!$G$26:$G$45)*12*(1+Objetivos!$B$6)^B84-N84)</f>
        <v>0</v>
      </c>
      <c r="S84" s="148">
        <f>IF(B84&gt;=Objetivos!$B$11,0,IF(B84=1,Objetivos!$E$21*12+Objetivos!$C$21+Objetivos!$D$21,Objetivos!$E$21*12*(1+Objetivos!$B$9)^(B84-1)))</f>
        <v>0</v>
      </c>
      <c r="T84" s="149">
        <f>MAX(0,(T83-W83)*(1+Objetivos!$B$21)+S84)</f>
        <v>638102.5700181</v>
      </c>
      <c r="U84" s="148">
        <f>MAX(0,U83-IF(T83=0,0,V83*U83/T83)+S84)</f>
        <v>31046.6296831578</v>
      </c>
      <c r="V84" s="150">
        <f>MIN(T84,SUMIFS(Objetivos!$I$26:$I$45,Objetivos!$E$26:$E$45,B84,Objetivos!$C$26:$C$45,"Único",Objetivos!$B$26:$B$45,Objetivos!$A$21)+SUMPRODUCT(((Objetivos!$C$26:$C$45="Renta")+(Objetivos!$C$26:$C$45="Jubilación"))*(Objetivos!$B$26:$B$45=Objetivos!$A$21)*(B84&gt;=Objetivos!$E$26:$E$45)*(B84&lt;Objetivos!$E$26:$E$45+Objetivos!$H$26:$H$45)*Objetivos!$G$26:$G$45)*12*(1+Objetivos!$B$6)^B84)</f>
        <v>0</v>
      </c>
      <c r="W84" s="148">
        <f>V84+IF(T84=0,0,V84*MAX(0,T84-U84)/T84)*Objetivos!$B$7</f>
        <v>0</v>
      </c>
      <c r="X84" s="151">
        <f>MAX(0,SUMIFS(Objetivos!$I$26:$I$45,Objetivos!$E$26:$E$45,B84,Objetivos!$C$26:$C$45,"Único",Objetivos!$B$26:$B$45,Objetivos!$A$21)+SUMPRODUCT(((Objetivos!$C$26:$C$45="Renta")+(Objetivos!$C$26:$C$45="Jubilación"))*(Objetivos!$B$26:$B$45=Objetivos!$A$21)*(B84&gt;=Objetivos!$E$26:$E$45)*(B84&lt;Objetivos!$E$26:$E$45+Objetivos!$H$26:$H$45)*Objetivos!$G$26:$G$45)*12*(1+Objetivos!$B$6)^B84-T84)</f>
        <v>0</v>
      </c>
    </row>
    <row r="85">
      <c r="A85" s="152">
        <f>Objetivos!$B$5+B85</f>
        <v>2106</v>
      </c>
      <c r="B85" s="153" t="n">
        <v>80</v>
      </c>
      <c r="C85" s="154">
        <f>H85+N85+T85</f>
        <v>4985577.1227684</v>
      </c>
      <c r="D85" s="154">
        <f>(H85-MAX(0,H85-I85)*Objetivos!$B$7)+(N85-MAX(0,N85-O85)*Objetivos!$B$7)+(T85-MAX(0,T85-U85)*Objetivos!$B$7)</f>
        <v>3945396.87475209</v>
      </c>
      <c r="E85" s="155">
        <f>G85+M85+S85</f>
        <v>0</v>
      </c>
      <c r="F85" s="156">
        <f>J85+P85+V85</f>
        <v>0</v>
      </c>
      <c r="G85" s="157">
        <f>IF(B85&gt;=Objetivos!$B$11,0,IF(B85=1,Objetivos!$E$19*12+Objetivos!$C$19+Objetivos!$D$19,Objetivos!$E$19*12*(1+Objetivos!$B$9)^(B85-1)))</f>
        <v>0</v>
      </c>
      <c r="H85" s="158">
        <f>MAX(0,(H84-K84)*(1+Objetivos!$B$19)+G85)</f>
        <v>1158268.63966854</v>
      </c>
      <c r="I85" s="157">
        <f>MAX(0,I84-IF(H84=0,0,J84*I84/H84)+G85)</f>
        <v>143994.109707777</v>
      </c>
      <c r="J85" s="159">
        <f>MIN(H85,SUMIFS(Objetivos!$I$26:$I$45,Objetivos!$E$26:$E$45,B85,Objetivos!$C$26:$C$45,"Único",Objetivos!$B$26:$B$45,Objetivos!$A$19)+SUMPRODUCT(((Objetivos!$C$26:$C$45="Renta")+(Objetivos!$C$26:$C$45="Jubilación"))*(Objetivos!$B$26:$B$45=Objetivos!$A$19)*(B85&gt;=Objetivos!$E$26:$E$45)*(B85&lt;Objetivos!$E$26:$E$45+Objetivos!$H$26:$H$45)*Objetivos!$G$26:$G$45)*12*(1+Objetivos!$B$6)^B85)</f>
        <v>0</v>
      </c>
      <c r="K85" s="157">
        <f>J85+IF(H85=0,0,J85*MAX(0,H85-I85)/H85)*Objetivos!$B$7</f>
        <v>0</v>
      </c>
      <c r="L85" s="160">
        <f>MAX(0,SUMIFS(Objetivos!$I$26:$I$45,Objetivos!$E$26:$E$45,B85,Objetivos!$C$26:$C$45,"Único",Objetivos!$B$26:$B$45,Objetivos!$A$19)+SUMPRODUCT(((Objetivos!$C$26:$C$45="Renta")+(Objetivos!$C$26:$C$45="Jubilación"))*(Objetivos!$B$26:$B$45=Objetivos!$A$19)*(B85&gt;=Objetivos!$E$26:$E$45)*(B85&lt;Objetivos!$E$26:$E$45+Objetivos!$H$26:$H$45)*Objetivos!$G$26:$G$45)*12*(1+Objetivos!$B$6)^B85-H85)</f>
        <v>0</v>
      </c>
      <c r="M85" s="157">
        <f>IF(B85&gt;=Objetivos!$B$11,0,IF(B85=1,Objetivos!$E$20*12+Objetivos!$C$20+Objetivos!$D$20,Objetivos!$E$20*12*(1+Objetivos!$B$9)^(B85-1)))</f>
        <v>0</v>
      </c>
      <c r="N85" s="158">
        <f>MAX(0,(N84-Q84)*(1+Objetivos!$B$20)+M85)</f>
        <v>3157300.78458085</v>
      </c>
      <c r="O85" s="157">
        <f>MAX(0,O84-IF(N84=0,0,P84*O84/N84)+M85)</f>
        <v>82444.3469397004</v>
      </c>
      <c r="P85" s="159">
        <f>MIN(N85,SUMIFS(Objetivos!$I$26:$I$45,Objetivos!$E$26:$E$45,B85,Objetivos!$C$26:$C$45,"Único",Objetivos!$B$26:$B$45,Objetivos!$A$20)+SUMPRODUCT(((Objetivos!$C$26:$C$45="Renta")+(Objetivos!$C$26:$C$45="Jubilación"))*(Objetivos!$B$26:$B$45=Objetivos!$A$20)*(B85&gt;=Objetivos!$E$26:$E$45)*(B85&lt;Objetivos!$E$26:$E$45+Objetivos!$H$26:$H$45)*Objetivos!$G$26:$G$45)*12*(1+Objetivos!$B$6)^B85)</f>
        <v>0</v>
      </c>
      <c r="Q85" s="157">
        <f>P85+IF(N85=0,0,P85*MAX(0,N85-O85)/N85)*Objetivos!$B$7</f>
        <v>0</v>
      </c>
      <c r="R85" s="160">
        <f>MAX(0,SUMIFS(Objetivos!$I$26:$I$45,Objetivos!$E$26:$E$45,B85,Objetivos!$C$26:$C$45,"Único",Objetivos!$B$26:$B$45,Objetivos!$A$20)+SUMPRODUCT(((Objetivos!$C$26:$C$45="Renta")+(Objetivos!$C$26:$C$45="Jubilación"))*(Objetivos!$B$26:$B$45=Objetivos!$A$20)*(B85&gt;=Objetivos!$E$26:$E$45)*(B85&lt;Objetivos!$E$26:$E$45+Objetivos!$H$26:$H$45)*Objetivos!$G$26:$G$45)*12*(1+Objetivos!$B$6)^B85-N85)</f>
        <v>0</v>
      </c>
      <c r="S85" s="157">
        <f>IF(B85&gt;=Objetivos!$B$11,0,IF(B85=1,Objetivos!$E$21*12+Objetivos!$C$21+Objetivos!$D$21,Objetivos!$E$21*12*(1+Objetivos!$B$9)^(B85-1)))</f>
        <v>0</v>
      </c>
      <c r="T85" s="158">
        <f>MAX(0,(T84-W84)*(1+Objetivos!$B$21)+S85)</f>
        <v>670007.698519005</v>
      </c>
      <c r="U85" s="157">
        <f>MAX(0,U84-IF(T84=0,0,V84*U84/T84)+S85)</f>
        <v>31046.6296831578</v>
      </c>
      <c r="V85" s="159">
        <f>MIN(T85,SUMIFS(Objetivos!$I$26:$I$45,Objetivos!$E$26:$E$45,B85,Objetivos!$C$26:$C$45,"Único",Objetivos!$B$26:$B$45,Objetivos!$A$21)+SUMPRODUCT(((Objetivos!$C$26:$C$45="Renta")+(Objetivos!$C$26:$C$45="Jubilación"))*(Objetivos!$B$26:$B$45=Objetivos!$A$21)*(B85&gt;=Objetivos!$E$26:$E$45)*(B85&lt;Objetivos!$E$26:$E$45+Objetivos!$H$26:$H$45)*Objetivos!$G$26:$G$45)*12*(1+Objetivos!$B$6)^B85)</f>
        <v>0</v>
      </c>
      <c r="W85" s="157">
        <f>V85+IF(T85=0,0,V85*MAX(0,T85-U85)/T85)*Objetivos!$B$7</f>
        <v>0</v>
      </c>
      <c r="X85" s="160">
        <f>MAX(0,SUMIFS(Objetivos!$I$26:$I$45,Objetivos!$E$26:$E$45,B85,Objetivos!$C$26:$C$45,"Único",Objetivos!$B$26:$B$45,Objetivos!$A$21)+SUMPRODUCT(((Objetivos!$C$26:$C$45="Renta")+(Objetivos!$C$26:$C$45="Jubilación"))*(Objetivos!$B$26:$B$45=Objetivos!$A$21)*(B85&gt;=Objetivos!$E$26:$E$45)*(B85&lt;Objetivos!$E$26:$E$45+Objetivos!$H$26:$H$45)*Objetivos!$G$26:$G$45)*12*(1+Objetivos!$B$6)^B85-T85)</f>
        <v>0</v>
      </c>
    </row>
    <row r="86">
      <c r="A86" s="144">
        <f>Objetivos!$B$5+B86</f>
        <v>2107</v>
      </c>
      <c r="B86" s="145" t="n">
        <v>81</v>
      </c>
      <c r="C86" s="126">
        <f>H86+N86+T86</f>
        <v>5249054.9571576</v>
      </c>
      <c r="D86" s="126">
        <f>(H86-MAX(0,H86-I86)*Objetivos!$B$7)+(N86-MAX(0,N86-O86)*Objetivos!$B$7)+(T86-MAX(0,T86-U86)*Objetivos!$B$7)</f>
        <v>4150909.58557567</v>
      </c>
      <c r="E86" s="146">
        <f>G86+M86+S86</f>
        <v>0</v>
      </c>
      <c r="F86" s="147">
        <f>J86+P86+V86</f>
        <v>0</v>
      </c>
      <c r="G86" s="148">
        <f>IF(B86&gt;=Objetivos!$B$11,0,IF(B86=1,Objetivos!$E$19*12+Objetivos!$C$19+Objetivos!$D$19,Objetivos!$E$19*12*(1+Objetivos!$B$9)^(B86-1)))</f>
        <v>0</v>
      </c>
      <c r="H86" s="149">
        <f>MAX(0,(H85-K85)*(1+Objetivos!$B$19)+G86)</f>
        <v>1198808.04205694</v>
      </c>
      <c r="I86" s="148">
        <f>MAX(0,I85-IF(H85=0,0,J85*I85/H85)+G86)</f>
        <v>143994.109707777</v>
      </c>
      <c r="J86" s="150">
        <f>MIN(H86,SUMIFS(Objetivos!$I$26:$I$45,Objetivos!$E$26:$E$45,B86,Objetivos!$C$26:$C$45,"Único",Objetivos!$B$26:$B$45,Objetivos!$A$19)+SUMPRODUCT(((Objetivos!$C$26:$C$45="Renta")+(Objetivos!$C$26:$C$45="Jubilación"))*(Objetivos!$B$26:$B$45=Objetivos!$A$19)*(B86&gt;=Objetivos!$E$26:$E$45)*(B86&lt;Objetivos!$E$26:$E$45+Objetivos!$H$26:$H$45)*Objetivos!$G$26:$G$45)*12*(1+Objetivos!$B$6)^B86)</f>
        <v>0</v>
      </c>
      <c r="K86" s="148">
        <f>J86+IF(H86=0,0,J86*MAX(0,H86-I86)/H86)*Objetivos!$B$7</f>
        <v>0</v>
      </c>
      <c r="L86" s="151">
        <f>MAX(0,SUMIFS(Objetivos!$I$26:$I$45,Objetivos!$E$26:$E$45,B86,Objetivos!$C$26:$C$45,"Único",Objetivos!$B$26:$B$45,Objetivos!$A$19)+SUMPRODUCT(((Objetivos!$C$26:$C$45="Renta")+(Objetivos!$C$26:$C$45="Jubilación"))*(Objetivos!$B$26:$B$45=Objetivos!$A$19)*(B86&gt;=Objetivos!$E$26:$E$45)*(B86&lt;Objetivos!$E$26:$E$45+Objetivos!$H$26:$H$45)*Objetivos!$G$26:$G$45)*12*(1+Objetivos!$B$6)^B86-H86)</f>
        <v>0</v>
      </c>
      <c r="M86" s="148">
        <f>IF(B86&gt;=Objetivos!$B$11,0,IF(B86=1,Objetivos!$E$20*12+Objetivos!$C$20+Objetivos!$D$20,Objetivos!$E$20*12*(1+Objetivos!$B$9)^(B86-1)))</f>
        <v>0</v>
      </c>
      <c r="N86" s="149">
        <f>MAX(0,(N85-Q85)*(1+Objetivos!$B$20)+M86)</f>
        <v>3346738.8316557</v>
      </c>
      <c r="O86" s="148">
        <f>MAX(0,O85-IF(N85=0,0,P85*O85/N85)+M86)</f>
        <v>82444.3469397004</v>
      </c>
      <c r="P86" s="150">
        <f>MIN(N86,SUMIFS(Objetivos!$I$26:$I$45,Objetivos!$E$26:$E$45,B86,Objetivos!$C$26:$C$45,"Único",Objetivos!$B$26:$B$45,Objetivos!$A$20)+SUMPRODUCT(((Objetivos!$C$26:$C$45="Renta")+(Objetivos!$C$26:$C$45="Jubilación"))*(Objetivos!$B$26:$B$45=Objetivos!$A$20)*(B86&gt;=Objetivos!$E$26:$E$45)*(B86&lt;Objetivos!$E$26:$E$45+Objetivos!$H$26:$H$45)*Objetivos!$G$26:$G$45)*12*(1+Objetivos!$B$6)^B86)</f>
        <v>0</v>
      </c>
      <c r="Q86" s="148">
        <f>P86+IF(N86=0,0,P86*MAX(0,N86-O86)/N86)*Objetivos!$B$7</f>
        <v>0</v>
      </c>
      <c r="R86" s="151">
        <f>MAX(0,SUMIFS(Objetivos!$I$26:$I$45,Objetivos!$E$26:$E$45,B86,Objetivos!$C$26:$C$45,"Único",Objetivos!$B$26:$B$45,Objetivos!$A$20)+SUMPRODUCT(((Objetivos!$C$26:$C$45="Renta")+(Objetivos!$C$26:$C$45="Jubilación"))*(Objetivos!$B$26:$B$45=Objetivos!$A$20)*(B86&gt;=Objetivos!$E$26:$E$45)*(B86&lt;Objetivos!$E$26:$E$45+Objetivos!$H$26:$H$45)*Objetivos!$G$26:$G$45)*12*(1+Objetivos!$B$6)^B86-N86)</f>
        <v>0</v>
      </c>
      <c r="S86" s="148">
        <f>IF(B86&gt;=Objetivos!$B$11,0,IF(B86=1,Objetivos!$E$21*12+Objetivos!$C$21+Objetivos!$D$21,Objetivos!$E$21*12*(1+Objetivos!$B$9)^(B86-1)))</f>
        <v>0</v>
      </c>
      <c r="T86" s="149">
        <f>MAX(0,(T85-W85)*(1+Objetivos!$B$21)+S86)</f>
        <v>703508.083444955</v>
      </c>
      <c r="U86" s="148">
        <f>MAX(0,U85-IF(T85=0,0,V85*U85/T85)+S86)</f>
        <v>31046.6296831578</v>
      </c>
      <c r="V86" s="150">
        <f>MIN(T86,SUMIFS(Objetivos!$I$26:$I$45,Objetivos!$E$26:$E$45,B86,Objetivos!$C$26:$C$45,"Único",Objetivos!$B$26:$B$45,Objetivos!$A$21)+SUMPRODUCT(((Objetivos!$C$26:$C$45="Renta")+(Objetivos!$C$26:$C$45="Jubilación"))*(Objetivos!$B$26:$B$45=Objetivos!$A$21)*(B86&gt;=Objetivos!$E$26:$E$45)*(B86&lt;Objetivos!$E$26:$E$45+Objetivos!$H$26:$H$45)*Objetivos!$G$26:$G$45)*12*(1+Objetivos!$B$6)^B86)</f>
        <v>0</v>
      </c>
      <c r="W86" s="148">
        <f>V86+IF(T86=0,0,V86*MAX(0,T86-U86)/T86)*Objetivos!$B$7</f>
        <v>0</v>
      </c>
      <c r="X86" s="151">
        <f>MAX(0,SUMIFS(Objetivos!$I$26:$I$45,Objetivos!$E$26:$E$45,B86,Objetivos!$C$26:$C$45,"Único",Objetivos!$B$26:$B$45,Objetivos!$A$21)+SUMPRODUCT(((Objetivos!$C$26:$C$45="Renta")+(Objetivos!$C$26:$C$45="Jubilación"))*(Objetivos!$B$26:$B$45=Objetivos!$A$21)*(B86&gt;=Objetivos!$E$26:$E$45)*(B86&lt;Objetivos!$E$26:$E$45+Objetivos!$H$26:$H$45)*Objetivos!$G$26:$G$45)*12*(1+Objetivos!$B$6)^B86-T86)</f>
        <v>0</v>
      </c>
    </row>
    <row r="87">
      <c r="A87" s="152">
        <f>Objetivos!$B$5+B87</f>
        <v>2108</v>
      </c>
      <c r="B87" s="153" t="n">
        <v>82</v>
      </c>
      <c r="C87" s="154">
        <f>H87+N87+T87</f>
        <v>5526992.97270118</v>
      </c>
      <c r="D87" s="154">
        <f>(H87-MAX(0,H87-I87)*Objetivos!$B$7)+(N87-MAX(0,N87-O87)*Objetivos!$B$7)+(T87-MAX(0,T87-U87)*Objetivos!$B$7)</f>
        <v>4367701.23769966</v>
      </c>
      <c r="E87" s="155">
        <f>G87+M87+S87</f>
        <v>0</v>
      </c>
      <c r="F87" s="156">
        <f>J87+P87+V87</f>
        <v>0</v>
      </c>
      <c r="G87" s="157">
        <f>IF(B87&gt;=Objetivos!$B$11,0,IF(B87=1,Objetivos!$E$19*12+Objetivos!$C$19+Objetivos!$D$19,Objetivos!$E$19*12*(1+Objetivos!$B$9)^(B87-1)))</f>
        <v>0</v>
      </c>
      <c r="H87" s="158">
        <f>MAX(0,(H86-K86)*(1+Objetivos!$B$19)+G87)</f>
        <v>1240766.32352893</v>
      </c>
      <c r="I87" s="157">
        <f>MAX(0,I86-IF(H86=0,0,J86*I86/H86)+G87)</f>
        <v>143994.109707777</v>
      </c>
      <c r="J87" s="159">
        <f>MIN(H87,SUMIFS(Objetivos!$I$26:$I$45,Objetivos!$E$26:$E$45,B87,Objetivos!$C$26:$C$45,"Único",Objetivos!$B$26:$B$45,Objetivos!$A$19)+SUMPRODUCT(((Objetivos!$C$26:$C$45="Renta")+(Objetivos!$C$26:$C$45="Jubilación"))*(Objetivos!$B$26:$B$45=Objetivos!$A$19)*(B87&gt;=Objetivos!$E$26:$E$45)*(B87&lt;Objetivos!$E$26:$E$45+Objetivos!$H$26:$H$45)*Objetivos!$G$26:$G$45)*12*(1+Objetivos!$B$6)^B87)</f>
        <v>0</v>
      </c>
      <c r="K87" s="157">
        <f>J87+IF(H87=0,0,J87*MAX(0,H87-I87)/H87)*Objetivos!$B$7</f>
        <v>0</v>
      </c>
      <c r="L87" s="160">
        <f>MAX(0,SUMIFS(Objetivos!$I$26:$I$45,Objetivos!$E$26:$E$45,B87,Objetivos!$C$26:$C$45,"Único",Objetivos!$B$26:$B$45,Objetivos!$A$19)+SUMPRODUCT(((Objetivos!$C$26:$C$45="Renta")+(Objetivos!$C$26:$C$45="Jubilación"))*(Objetivos!$B$26:$B$45=Objetivos!$A$19)*(B87&gt;=Objetivos!$E$26:$E$45)*(B87&lt;Objetivos!$E$26:$E$45+Objetivos!$H$26:$H$45)*Objetivos!$G$26:$G$45)*12*(1+Objetivos!$B$6)^B87-H87)</f>
        <v>0</v>
      </c>
      <c r="M87" s="157">
        <f>IF(B87&gt;=Objetivos!$B$11,0,IF(B87=1,Objetivos!$E$20*12+Objetivos!$C$20+Objetivos!$D$20,Objetivos!$E$20*12*(1+Objetivos!$B$9)^(B87-1)))</f>
        <v>0</v>
      </c>
      <c r="N87" s="158">
        <f>MAX(0,(N86-Q86)*(1+Objetivos!$B$20)+M87)</f>
        <v>3547543.16155505</v>
      </c>
      <c r="O87" s="157">
        <f>MAX(0,O86-IF(N86=0,0,P86*O86/N86)+M87)</f>
        <v>82444.3469397004</v>
      </c>
      <c r="P87" s="159">
        <f>MIN(N87,SUMIFS(Objetivos!$I$26:$I$45,Objetivos!$E$26:$E$45,B87,Objetivos!$C$26:$C$45,"Único",Objetivos!$B$26:$B$45,Objetivos!$A$20)+SUMPRODUCT(((Objetivos!$C$26:$C$45="Renta")+(Objetivos!$C$26:$C$45="Jubilación"))*(Objetivos!$B$26:$B$45=Objetivos!$A$20)*(B87&gt;=Objetivos!$E$26:$E$45)*(B87&lt;Objetivos!$E$26:$E$45+Objetivos!$H$26:$H$45)*Objetivos!$G$26:$G$45)*12*(1+Objetivos!$B$6)^B87)</f>
        <v>0</v>
      </c>
      <c r="Q87" s="157">
        <f>P87+IF(N87=0,0,P87*MAX(0,N87-O87)/N87)*Objetivos!$B$7</f>
        <v>0</v>
      </c>
      <c r="R87" s="160">
        <f>MAX(0,SUMIFS(Objetivos!$I$26:$I$45,Objetivos!$E$26:$E$45,B87,Objetivos!$C$26:$C$45,"Único",Objetivos!$B$26:$B$45,Objetivos!$A$20)+SUMPRODUCT(((Objetivos!$C$26:$C$45="Renta")+(Objetivos!$C$26:$C$45="Jubilación"))*(Objetivos!$B$26:$B$45=Objetivos!$A$20)*(B87&gt;=Objetivos!$E$26:$E$45)*(B87&lt;Objetivos!$E$26:$E$45+Objetivos!$H$26:$H$45)*Objetivos!$G$26:$G$45)*12*(1+Objetivos!$B$6)^B87-N87)</f>
        <v>0</v>
      </c>
      <c r="S87" s="157">
        <f>IF(B87&gt;=Objetivos!$B$11,0,IF(B87=1,Objetivos!$E$21*12+Objetivos!$C$21+Objetivos!$D$21,Objetivos!$E$21*12*(1+Objetivos!$B$9)^(B87-1)))</f>
        <v>0</v>
      </c>
      <c r="T87" s="158">
        <f>MAX(0,(T86-W86)*(1+Objetivos!$B$21)+S87)</f>
        <v>738683.487617203</v>
      </c>
      <c r="U87" s="157">
        <f>MAX(0,U86-IF(T86=0,0,V86*U86/T86)+S87)</f>
        <v>31046.6296831578</v>
      </c>
      <c r="V87" s="159">
        <f>MIN(T87,SUMIFS(Objetivos!$I$26:$I$45,Objetivos!$E$26:$E$45,B87,Objetivos!$C$26:$C$45,"Único",Objetivos!$B$26:$B$45,Objetivos!$A$21)+SUMPRODUCT(((Objetivos!$C$26:$C$45="Renta")+(Objetivos!$C$26:$C$45="Jubilación"))*(Objetivos!$B$26:$B$45=Objetivos!$A$21)*(B87&gt;=Objetivos!$E$26:$E$45)*(B87&lt;Objetivos!$E$26:$E$45+Objetivos!$H$26:$H$45)*Objetivos!$G$26:$G$45)*12*(1+Objetivos!$B$6)^B87)</f>
        <v>0</v>
      </c>
      <c r="W87" s="157">
        <f>V87+IF(T87=0,0,V87*MAX(0,T87-U87)/T87)*Objetivos!$B$7</f>
        <v>0</v>
      </c>
      <c r="X87" s="160">
        <f>MAX(0,SUMIFS(Objetivos!$I$26:$I$45,Objetivos!$E$26:$E$45,B87,Objetivos!$C$26:$C$45,"Único",Objetivos!$B$26:$B$45,Objetivos!$A$21)+SUMPRODUCT(((Objetivos!$C$26:$C$45="Renta")+(Objetivos!$C$26:$C$45="Jubilación"))*(Objetivos!$B$26:$B$45=Objetivos!$A$21)*(B87&gt;=Objetivos!$E$26:$E$45)*(B87&lt;Objetivos!$E$26:$E$45+Objetivos!$H$26:$H$45)*Objetivos!$G$26:$G$45)*12*(1+Objetivos!$B$6)^B87-T87)</f>
        <v>0</v>
      </c>
    </row>
    <row r="88">
      <c r="A88" s="144">
        <f>Objetivos!$B$5+B88</f>
        <v>2109</v>
      </c>
      <c r="B88" s="145" t="n">
        <v>83</v>
      </c>
      <c r="C88" s="126">
        <f>H88+N88+T88</f>
        <v>5820206.55809886</v>
      </c>
      <c r="D88" s="126">
        <f>(H88-MAX(0,H88-I88)*Objetivos!$B$7)+(N88-MAX(0,N88-O88)*Objetivos!$B$7)+(T88-MAX(0,T88-U88)*Objetivos!$B$7)</f>
        <v>4596407.83430985</v>
      </c>
      <c r="E88" s="146">
        <f>G88+M88+S88</f>
        <v>0</v>
      </c>
      <c r="F88" s="147">
        <f>J88+P88+V88</f>
        <v>0</v>
      </c>
      <c r="G88" s="148">
        <f>IF(B88&gt;=Objetivos!$B$11,0,IF(B88=1,Objetivos!$E$19*12+Objetivos!$C$19+Objetivos!$D$19,Objetivos!$E$19*12*(1+Objetivos!$B$9)^(B88-1)))</f>
        <v>0</v>
      </c>
      <c r="H88" s="149">
        <f>MAX(0,(H87-K87)*(1+Objetivos!$B$19)+G88)</f>
        <v>1284193.14485245</v>
      </c>
      <c r="I88" s="148">
        <f>MAX(0,I87-IF(H87=0,0,J87*I87/H87)+G88)</f>
        <v>143994.109707777</v>
      </c>
      <c r="J88" s="150">
        <f>MIN(H88,SUMIFS(Objetivos!$I$26:$I$45,Objetivos!$E$26:$E$45,B88,Objetivos!$C$26:$C$45,"Único",Objetivos!$B$26:$B$45,Objetivos!$A$19)+SUMPRODUCT(((Objetivos!$C$26:$C$45="Renta")+(Objetivos!$C$26:$C$45="Jubilación"))*(Objetivos!$B$26:$B$45=Objetivos!$A$19)*(B88&gt;=Objetivos!$E$26:$E$45)*(B88&lt;Objetivos!$E$26:$E$45+Objetivos!$H$26:$H$45)*Objetivos!$G$26:$G$45)*12*(1+Objetivos!$B$6)^B88)</f>
        <v>0</v>
      </c>
      <c r="K88" s="148">
        <f>J88+IF(H88=0,0,J88*MAX(0,H88-I88)/H88)*Objetivos!$B$7</f>
        <v>0</v>
      </c>
      <c r="L88" s="151">
        <f>MAX(0,SUMIFS(Objetivos!$I$26:$I$45,Objetivos!$E$26:$E$45,B88,Objetivos!$C$26:$C$45,"Único",Objetivos!$B$26:$B$45,Objetivos!$A$19)+SUMPRODUCT(((Objetivos!$C$26:$C$45="Renta")+(Objetivos!$C$26:$C$45="Jubilación"))*(Objetivos!$B$26:$B$45=Objetivos!$A$19)*(B88&gt;=Objetivos!$E$26:$E$45)*(B88&lt;Objetivos!$E$26:$E$45+Objetivos!$H$26:$H$45)*Objetivos!$G$26:$G$45)*12*(1+Objetivos!$B$6)^B88-H88)</f>
        <v>0</v>
      </c>
      <c r="M88" s="148">
        <f>IF(B88&gt;=Objetivos!$B$11,0,IF(B88=1,Objetivos!$E$20*12+Objetivos!$C$20+Objetivos!$D$20,Objetivos!$E$20*12*(1+Objetivos!$B$9)^(B88-1)))</f>
        <v>0</v>
      </c>
      <c r="N88" s="149">
        <f>MAX(0,(N87-Q87)*(1+Objetivos!$B$20)+M88)</f>
        <v>3760395.75124835</v>
      </c>
      <c r="O88" s="148">
        <f>MAX(0,O87-IF(N87=0,0,P87*O87/N87)+M88)</f>
        <v>82444.3469397004</v>
      </c>
      <c r="P88" s="150">
        <f>MIN(N88,SUMIFS(Objetivos!$I$26:$I$45,Objetivos!$E$26:$E$45,B88,Objetivos!$C$26:$C$45,"Único",Objetivos!$B$26:$B$45,Objetivos!$A$20)+SUMPRODUCT(((Objetivos!$C$26:$C$45="Renta")+(Objetivos!$C$26:$C$45="Jubilación"))*(Objetivos!$B$26:$B$45=Objetivos!$A$20)*(B88&gt;=Objetivos!$E$26:$E$45)*(B88&lt;Objetivos!$E$26:$E$45+Objetivos!$H$26:$H$45)*Objetivos!$G$26:$G$45)*12*(1+Objetivos!$B$6)^B88)</f>
        <v>0</v>
      </c>
      <c r="Q88" s="148">
        <f>P88+IF(N88=0,0,P88*MAX(0,N88-O88)/N88)*Objetivos!$B$7</f>
        <v>0</v>
      </c>
      <c r="R88" s="151">
        <f>MAX(0,SUMIFS(Objetivos!$I$26:$I$45,Objetivos!$E$26:$E$45,B88,Objetivos!$C$26:$C$45,"Único",Objetivos!$B$26:$B$45,Objetivos!$A$20)+SUMPRODUCT(((Objetivos!$C$26:$C$45="Renta")+(Objetivos!$C$26:$C$45="Jubilación"))*(Objetivos!$B$26:$B$45=Objetivos!$A$20)*(B88&gt;=Objetivos!$E$26:$E$45)*(B88&lt;Objetivos!$E$26:$E$45+Objetivos!$H$26:$H$45)*Objetivos!$G$26:$G$45)*12*(1+Objetivos!$B$6)^B88-N88)</f>
        <v>0</v>
      </c>
      <c r="S88" s="148">
        <f>IF(B88&gt;=Objetivos!$B$11,0,IF(B88=1,Objetivos!$E$21*12+Objetivos!$C$21+Objetivos!$D$21,Objetivos!$E$21*12*(1+Objetivos!$B$9)^(B88-1)))</f>
        <v>0</v>
      </c>
      <c r="T88" s="149">
        <f>MAX(0,(T87-W87)*(1+Objetivos!$B$21)+S88)</f>
        <v>775617.661998063</v>
      </c>
      <c r="U88" s="148">
        <f>MAX(0,U87-IF(T87=0,0,V87*U87/T87)+S88)</f>
        <v>31046.6296831578</v>
      </c>
      <c r="V88" s="150">
        <f>MIN(T88,SUMIFS(Objetivos!$I$26:$I$45,Objetivos!$E$26:$E$45,B88,Objetivos!$C$26:$C$45,"Único",Objetivos!$B$26:$B$45,Objetivos!$A$21)+SUMPRODUCT(((Objetivos!$C$26:$C$45="Renta")+(Objetivos!$C$26:$C$45="Jubilación"))*(Objetivos!$B$26:$B$45=Objetivos!$A$21)*(B88&gt;=Objetivos!$E$26:$E$45)*(B88&lt;Objetivos!$E$26:$E$45+Objetivos!$H$26:$H$45)*Objetivos!$G$26:$G$45)*12*(1+Objetivos!$B$6)^B88)</f>
        <v>0</v>
      </c>
      <c r="W88" s="148">
        <f>V88+IF(T88=0,0,V88*MAX(0,T88-U88)/T88)*Objetivos!$B$7</f>
        <v>0</v>
      </c>
      <c r="X88" s="151">
        <f>MAX(0,SUMIFS(Objetivos!$I$26:$I$45,Objetivos!$E$26:$E$45,B88,Objetivos!$C$26:$C$45,"Único",Objetivos!$B$26:$B$45,Objetivos!$A$21)+SUMPRODUCT(((Objetivos!$C$26:$C$45="Renta")+(Objetivos!$C$26:$C$45="Jubilación"))*(Objetivos!$B$26:$B$45=Objetivos!$A$21)*(B88&gt;=Objetivos!$E$26:$E$45)*(B88&lt;Objetivos!$E$26:$E$45+Objetivos!$H$26:$H$45)*Objetivos!$G$26:$G$45)*12*(1+Objetivos!$B$6)^B88-T88)</f>
        <v>0</v>
      </c>
    </row>
    <row r="89">
      <c r="A89" s="152">
        <f>Objetivos!$B$5+B89</f>
        <v>2110</v>
      </c>
      <c r="B89" s="153" t="n">
        <v>84</v>
      </c>
      <c r="C89" s="154">
        <f>H89+N89+T89</f>
        <v>6129557.9463435</v>
      </c>
      <c r="D89" s="154">
        <f>(H89-MAX(0,H89-I89)*Objetivos!$B$7)+(N89-MAX(0,N89-O89)*Objetivos!$B$7)+(T89-MAX(0,T89-U89)*Objetivos!$B$7)</f>
        <v>4837701.91714067</v>
      </c>
      <c r="E89" s="155">
        <f>G89+M89+S89</f>
        <v>0</v>
      </c>
      <c r="F89" s="156">
        <f>J89+P89+V89</f>
        <v>0</v>
      </c>
      <c r="G89" s="157">
        <f>IF(B89&gt;=Objetivos!$B$11,0,IF(B89=1,Objetivos!$E$19*12+Objetivos!$C$19+Objetivos!$D$19,Objetivos!$E$19*12*(1+Objetivos!$B$9)^(B89-1)))</f>
        <v>0</v>
      </c>
      <c r="H89" s="158">
        <f>MAX(0,(H88-K88)*(1+Objetivos!$B$19)+G89)</f>
        <v>1329139.90492228</v>
      </c>
      <c r="I89" s="157">
        <f>MAX(0,I88-IF(H88=0,0,J88*I88/H88)+G89)</f>
        <v>143994.109707777</v>
      </c>
      <c r="J89" s="159">
        <f>MIN(H89,SUMIFS(Objetivos!$I$26:$I$45,Objetivos!$E$26:$E$45,B89,Objetivos!$C$26:$C$45,"Único",Objetivos!$B$26:$B$45,Objetivos!$A$19)+SUMPRODUCT(((Objetivos!$C$26:$C$45="Renta")+(Objetivos!$C$26:$C$45="Jubilación"))*(Objetivos!$B$26:$B$45=Objetivos!$A$19)*(B89&gt;=Objetivos!$E$26:$E$45)*(B89&lt;Objetivos!$E$26:$E$45+Objetivos!$H$26:$H$45)*Objetivos!$G$26:$G$45)*12*(1+Objetivos!$B$6)^B89)</f>
        <v>0</v>
      </c>
      <c r="K89" s="157">
        <f>J89+IF(H89=0,0,J89*MAX(0,H89-I89)/H89)*Objetivos!$B$7</f>
        <v>0</v>
      </c>
      <c r="L89" s="160">
        <f>MAX(0,SUMIFS(Objetivos!$I$26:$I$45,Objetivos!$E$26:$E$45,B89,Objetivos!$C$26:$C$45,"Único",Objetivos!$B$26:$B$45,Objetivos!$A$19)+SUMPRODUCT(((Objetivos!$C$26:$C$45="Renta")+(Objetivos!$C$26:$C$45="Jubilación"))*(Objetivos!$B$26:$B$45=Objetivos!$A$19)*(B89&gt;=Objetivos!$E$26:$E$45)*(B89&lt;Objetivos!$E$26:$E$45+Objetivos!$H$26:$H$45)*Objetivos!$G$26:$G$45)*12*(1+Objetivos!$B$6)^B89-H89)</f>
        <v>0</v>
      </c>
      <c r="M89" s="157">
        <f>IF(B89&gt;=Objetivos!$B$11,0,IF(B89=1,Objetivos!$E$20*12+Objetivos!$C$20+Objetivos!$D$20,Objetivos!$E$20*12*(1+Objetivos!$B$9)^(B89-1)))</f>
        <v>0</v>
      </c>
      <c r="N89" s="158">
        <f>MAX(0,(N88-Q88)*(1+Objetivos!$B$20)+M89)</f>
        <v>3986019.49632325</v>
      </c>
      <c r="O89" s="157">
        <f>MAX(0,O88-IF(N88=0,0,P88*O88/N88)+M89)</f>
        <v>82444.3469397004</v>
      </c>
      <c r="P89" s="159">
        <f>MIN(N89,SUMIFS(Objetivos!$I$26:$I$45,Objetivos!$E$26:$E$45,B89,Objetivos!$C$26:$C$45,"Único",Objetivos!$B$26:$B$45,Objetivos!$A$20)+SUMPRODUCT(((Objetivos!$C$26:$C$45="Renta")+(Objetivos!$C$26:$C$45="Jubilación"))*(Objetivos!$B$26:$B$45=Objetivos!$A$20)*(B89&gt;=Objetivos!$E$26:$E$45)*(B89&lt;Objetivos!$E$26:$E$45+Objetivos!$H$26:$H$45)*Objetivos!$G$26:$G$45)*12*(1+Objetivos!$B$6)^B89)</f>
        <v>0</v>
      </c>
      <c r="Q89" s="157">
        <f>P89+IF(N89=0,0,P89*MAX(0,N89-O89)/N89)*Objetivos!$B$7</f>
        <v>0</v>
      </c>
      <c r="R89" s="160">
        <f>MAX(0,SUMIFS(Objetivos!$I$26:$I$45,Objetivos!$E$26:$E$45,B89,Objetivos!$C$26:$C$45,"Único",Objetivos!$B$26:$B$45,Objetivos!$A$20)+SUMPRODUCT(((Objetivos!$C$26:$C$45="Renta")+(Objetivos!$C$26:$C$45="Jubilación"))*(Objetivos!$B$26:$B$45=Objetivos!$A$20)*(B89&gt;=Objetivos!$E$26:$E$45)*(B89&lt;Objetivos!$E$26:$E$45+Objetivos!$H$26:$H$45)*Objetivos!$G$26:$G$45)*12*(1+Objetivos!$B$6)^B89-N89)</f>
        <v>0</v>
      </c>
      <c r="S89" s="157">
        <f>IF(B89&gt;=Objetivos!$B$11,0,IF(B89=1,Objetivos!$E$21*12+Objetivos!$C$21+Objetivos!$D$21,Objetivos!$E$21*12*(1+Objetivos!$B$9)^(B89-1)))</f>
        <v>0</v>
      </c>
      <c r="T89" s="158">
        <f>MAX(0,(T88-W88)*(1+Objetivos!$B$21)+S89)</f>
        <v>814398.545097966</v>
      </c>
      <c r="U89" s="157">
        <f>MAX(0,U88-IF(T88=0,0,V88*U88/T88)+S89)</f>
        <v>31046.6296831578</v>
      </c>
      <c r="V89" s="159">
        <f>MIN(T89,SUMIFS(Objetivos!$I$26:$I$45,Objetivos!$E$26:$E$45,B89,Objetivos!$C$26:$C$45,"Único",Objetivos!$B$26:$B$45,Objetivos!$A$21)+SUMPRODUCT(((Objetivos!$C$26:$C$45="Renta")+(Objetivos!$C$26:$C$45="Jubilación"))*(Objetivos!$B$26:$B$45=Objetivos!$A$21)*(B89&gt;=Objetivos!$E$26:$E$45)*(B89&lt;Objetivos!$E$26:$E$45+Objetivos!$H$26:$H$45)*Objetivos!$G$26:$G$45)*12*(1+Objetivos!$B$6)^B89)</f>
        <v>0</v>
      </c>
      <c r="W89" s="157">
        <f>V89+IF(T89=0,0,V89*MAX(0,T89-U89)/T89)*Objetivos!$B$7</f>
        <v>0</v>
      </c>
      <c r="X89" s="160">
        <f>MAX(0,SUMIFS(Objetivos!$I$26:$I$45,Objetivos!$E$26:$E$45,B89,Objetivos!$C$26:$C$45,"Único",Objetivos!$B$26:$B$45,Objetivos!$A$21)+SUMPRODUCT(((Objetivos!$C$26:$C$45="Renta")+(Objetivos!$C$26:$C$45="Jubilación"))*(Objetivos!$B$26:$B$45=Objetivos!$A$21)*(B89&gt;=Objetivos!$E$26:$E$45)*(B89&lt;Objetivos!$E$26:$E$45+Objetivos!$H$26:$H$45)*Objetivos!$G$26:$G$45)*12*(1+Objetivos!$B$6)^B89-T89)</f>
        <v>0</v>
      </c>
    </row>
    <row r="90">
      <c r="A90" s="144">
        <f>Objetivos!$B$5+B90</f>
        <v>2111</v>
      </c>
      <c r="B90" s="145" t="n">
        <v>85</v>
      </c>
      <c r="C90" s="126">
        <f>H90+N90+T90</f>
        <v>6455958.94005007</v>
      </c>
      <c r="D90" s="126">
        <f>(H90-MAX(0,H90-I90)*Objetivos!$B$7)+(N90-MAX(0,N90-O90)*Objetivos!$B$7)+(T90-MAX(0,T90-U90)*Objetivos!$B$7)</f>
        <v>5092294.6922318</v>
      </c>
      <c r="E90" s="146">
        <f>G90+M90+S90</f>
        <v>0</v>
      </c>
      <c r="F90" s="147">
        <f>J90+P90+V90</f>
        <v>0</v>
      </c>
      <c r="G90" s="148">
        <f>IF(B90&gt;=Objetivos!$B$11,0,IF(B90=1,Objetivos!$E$19*12+Objetivos!$C$19+Objetivos!$D$19,Objetivos!$E$19*12*(1+Objetivos!$B$9)^(B90-1)))</f>
        <v>0</v>
      </c>
      <c r="H90" s="149">
        <f>MAX(0,(H89-K89)*(1+Objetivos!$B$19)+G90)</f>
        <v>1375659.80159456</v>
      </c>
      <c r="I90" s="148">
        <f>MAX(0,I89-IF(H89=0,0,J89*I89/H89)+G90)</f>
        <v>143994.109707777</v>
      </c>
      <c r="J90" s="150">
        <f>MIN(H90,SUMIFS(Objetivos!$I$26:$I$45,Objetivos!$E$26:$E$45,B90,Objetivos!$C$26:$C$45,"Único",Objetivos!$B$26:$B$45,Objetivos!$A$19)+SUMPRODUCT(((Objetivos!$C$26:$C$45="Renta")+(Objetivos!$C$26:$C$45="Jubilación"))*(Objetivos!$B$26:$B$45=Objetivos!$A$19)*(B90&gt;=Objetivos!$E$26:$E$45)*(B90&lt;Objetivos!$E$26:$E$45+Objetivos!$H$26:$H$45)*Objetivos!$G$26:$G$45)*12*(1+Objetivos!$B$6)^B90)</f>
        <v>0</v>
      </c>
      <c r="K90" s="148">
        <f>J90+IF(H90=0,0,J90*MAX(0,H90-I90)/H90)*Objetivos!$B$7</f>
        <v>0</v>
      </c>
      <c r="L90" s="151">
        <f>MAX(0,SUMIFS(Objetivos!$I$26:$I$45,Objetivos!$E$26:$E$45,B90,Objetivos!$C$26:$C$45,"Único",Objetivos!$B$26:$B$45,Objetivos!$A$19)+SUMPRODUCT(((Objetivos!$C$26:$C$45="Renta")+(Objetivos!$C$26:$C$45="Jubilación"))*(Objetivos!$B$26:$B$45=Objetivos!$A$19)*(B90&gt;=Objetivos!$E$26:$E$45)*(B90&lt;Objetivos!$E$26:$E$45+Objetivos!$H$26:$H$45)*Objetivos!$G$26:$G$45)*12*(1+Objetivos!$B$6)^B90-H90)</f>
        <v>0</v>
      </c>
      <c r="M90" s="148">
        <f>IF(B90&gt;=Objetivos!$B$11,0,IF(B90=1,Objetivos!$E$20*12+Objetivos!$C$20+Objetivos!$D$20,Objetivos!$E$20*12*(1+Objetivos!$B$9)^(B90-1)))</f>
        <v>0</v>
      </c>
      <c r="N90" s="149">
        <f>MAX(0,(N89-Q89)*(1+Objetivos!$B$20)+M90)</f>
        <v>4225180.66610265</v>
      </c>
      <c r="O90" s="148">
        <f>MAX(0,O89-IF(N89=0,0,P89*O89/N89)+M90)</f>
        <v>82444.3469397004</v>
      </c>
      <c r="P90" s="150">
        <f>MIN(N90,SUMIFS(Objetivos!$I$26:$I$45,Objetivos!$E$26:$E$45,B90,Objetivos!$C$26:$C$45,"Único",Objetivos!$B$26:$B$45,Objetivos!$A$20)+SUMPRODUCT(((Objetivos!$C$26:$C$45="Renta")+(Objetivos!$C$26:$C$45="Jubilación"))*(Objetivos!$B$26:$B$45=Objetivos!$A$20)*(B90&gt;=Objetivos!$E$26:$E$45)*(B90&lt;Objetivos!$E$26:$E$45+Objetivos!$H$26:$H$45)*Objetivos!$G$26:$G$45)*12*(1+Objetivos!$B$6)^B90)</f>
        <v>0</v>
      </c>
      <c r="Q90" s="148">
        <f>P90+IF(N90=0,0,P90*MAX(0,N90-O90)/N90)*Objetivos!$B$7</f>
        <v>0</v>
      </c>
      <c r="R90" s="151">
        <f>MAX(0,SUMIFS(Objetivos!$I$26:$I$45,Objetivos!$E$26:$E$45,B90,Objetivos!$C$26:$C$45,"Único",Objetivos!$B$26:$B$45,Objetivos!$A$20)+SUMPRODUCT(((Objetivos!$C$26:$C$45="Renta")+(Objetivos!$C$26:$C$45="Jubilación"))*(Objetivos!$B$26:$B$45=Objetivos!$A$20)*(B90&gt;=Objetivos!$E$26:$E$45)*(B90&lt;Objetivos!$E$26:$E$45+Objetivos!$H$26:$H$45)*Objetivos!$G$26:$G$45)*12*(1+Objetivos!$B$6)^B90-N90)</f>
        <v>0</v>
      </c>
      <c r="S90" s="148">
        <f>IF(B90&gt;=Objetivos!$B$11,0,IF(B90=1,Objetivos!$E$21*12+Objetivos!$C$21+Objetivos!$D$21,Objetivos!$E$21*12*(1+Objetivos!$B$9)^(B90-1)))</f>
        <v>0</v>
      </c>
      <c r="T90" s="149">
        <f>MAX(0,(T89-W89)*(1+Objetivos!$B$21)+S90)</f>
        <v>855118.472352864</v>
      </c>
      <c r="U90" s="148">
        <f>MAX(0,U89-IF(T89=0,0,V89*U89/T89)+S90)</f>
        <v>31046.6296831578</v>
      </c>
      <c r="V90" s="150">
        <f>MIN(T90,SUMIFS(Objetivos!$I$26:$I$45,Objetivos!$E$26:$E$45,B90,Objetivos!$C$26:$C$45,"Único",Objetivos!$B$26:$B$45,Objetivos!$A$21)+SUMPRODUCT(((Objetivos!$C$26:$C$45="Renta")+(Objetivos!$C$26:$C$45="Jubilación"))*(Objetivos!$B$26:$B$45=Objetivos!$A$21)*(B90&gt;=Objetivos!$E$26:$E$45)*(B90&lt;Objetivos!$E$26:$E$45+Objetivos!$H$26:$H$45)*Objetivos!$G$26:$G$45)*12*(1+Objetivos!$B$6)^B90)</f>
        <v>0</v>
      </c>
      <c r="W90" s="148">
        <f>V90+IF(T90=0,0,V90*MAX(0,T90-U90)/T90)*Objetivos!$B$7</f>
        <v>0</v>
      </c>
      <c r="X90" s="151">
        <f>MAX(0,SUMIFS(Objetivos!$I$26:$I$45,Objetivos!$E$26:$E$45,B90,Objetivos!$C$26:$C$45,"Único",Objetivos!$B$26:$B$45,Objetivos!$A$21)+SUMPRODUCT(((Objetivos!$C$26:$C$45="Renta")+(Objetivos!$C$26:$C$45="Jubilación"))*(Objetivos!$B$26:$B$45=Objetivos!$A$21)*(B90&gt;=Objetivos!$E$26:$E$45)*(B90&lt;Objetivos!$E$26:$E$45+Objetivos!$H$26:$H$45)*Objetivos!$G$26:$G$45)*12*(1+Objetivos!$B$6)^B90-T90)</f>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2026-09-30T20:04:47Z</dcterms:created>
  <dcterms:modified xsi:type="dcterms:W3CDTF">2026-09-30T20:04:49Z</dcterms:modified>
</cp:coreProperties>
</file>